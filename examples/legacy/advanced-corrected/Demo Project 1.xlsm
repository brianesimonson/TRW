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1.xml" ContentType="application/vnd.openxmlformats-officedocument.drawing+xml"/>
  <Override PartName="/xl/worksheets/sheet11.xml" ContentType="application/vnd.openxmlformats-officedocument.spreadsheetml.worksheet+xml"/>
  <Override PartName="/xl/drawings/drawing2.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comment5.xml" ContentType="application/vnd.openxmlformats-officedocument.spreadsheetml.comments+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0928" windowHeight="12432" tabRatio="946" firstSheet="0" activeTab="1" autoFilterDateGrouping="1"/>
  </bookViews>
  <sheets>
    <sheet xmlns:r="http://schemas.openxmlformats.org/officeDocument/2006/relationships" name="Welcome" sheetId="1" state="visible" r:id="rId1"/>
    <sheet xmlns:r="http://schemas.openxmlformats.org/officeDocument/2006/relationships" name="Current Parameters" sheetId="2" state="visible" r:id="rId2"/>
    <sheet xmlns:r="http://schemas.openxmlformats.org/officeDocument/2006/relationships" name="FigureDataImport" sheetId="3" state="visible" r:id="rId3"/>
    <sheet xmlns:r="http://schemas.openxmlformats.org/officeDocument/2006/relationships" name="Report Numbers" sheetId="4" state="visible" r:id="rId4"/>
    <sheet xmlns:r="http://schemas.openxmlformats.org/officeDocument/2006/relationships" name="Report Loop List" sheetId="5" state="visible" r:id="rId5"/>
    <sheet xmlns:r="http://schemas.openxmlformats.org/officeDocument/2006/relationships" name="ChartRanges" sheetId="6" state="visible" r:id="rId6"/>
    <sheet xmlns:r="http://schemas.openxmlformats.org/officeDocument/2006/relationships" name="Table 1" sheetId="7" state="visible" r:id="rId7"/>
    <sheet xmlns:r="http://schemas.openxmlformats.org/officeDocument/2006/relationships" name="Table 2" sheetId="8" state="visible" r:id="rId8"/>
    <sheet xmlns:r="http://schemas.openxmlformats.org/officeDocument/2006/relationships" name="Table 3" sheetId="9" state="visible" r:id="rId9"/>
    <sheet xmlns:r="http://schemas.openxmlformats.org/officeDocument/2006/relationships" name="Figure 1" sheetId="10" state="visible" r:id="rId10"/>
    <sheet xmlns:r="http://schemas.openxmlformats.org/officeDocument/2006/relationships" name="Figure 2" sheetId="11" state="visible" r:id="rId11"/>
    <sheet xmlns:r="http://schemas.openxmlformats.org/officeDocument/2006/relationships" name="FFS MR TopX" sheetId="12" state="hidden" r:id="rId12"/>
    <sheet xmlns:r="http://schemas.openxmlformats.org/officeDocument/2006/relationships" name="Sheet1" sheetId="13" state="hidden" r:id="rId13"/>
    <sheet xmlns:r="http://schemas.openxmlformats.org/officeDocument/2006/relationships" name="Bullet 1" sheetId="14" state="visible" r:id="rId14"/>
    <sheet xmlns:r="http://schemas.openxmlformats.org/officeDocument/2006/relationships" name="Header and Footer" sheetId="15" state="visible" r:id="rId15"/>
    <sheet xmlns:r="http://schemas.openxmlformats.org/officeDocument/2006/relationships" name="x-Header" sheetId="16" state="hidden" r:id="rId16"/>
    <sheet xmlns:r="http://schemas.openxmlformats.org/officeDocument/2006/relationships" name="SmartSections" sheetId="17" state="visible" r:id="rId17"/>
    <sheet xmlns:r="http://schemas.openxmlformats.org/officeDocument/2006/relationships" name="Summary Sheet" sheetId="18" state="visible" r:id="rId18"/>
    <sheet xmlns:r="http://schemas.openxmlformats.org/officeDocument/2006/relationships" name="Add Docx" sheetId="19" state="visible" r:id="rId19"/>
    <sheet xmlns:r="http://schemas.openxmlformats.org/officeDocument/2006/relationships" name="Date" sheetId="20" state="visible" r:id="rId20"/>
    <sheet xmlns:r="http://schemas.openxmlformats.org/officeDocument/2006/relationships" name="GlobalReplace" sheetId="21" state="visible" r:id="rId21"/>
    <sheet xmlns:r="http://schemas.openxmlformats.org/officeDocument/2006/relationships" name="index" sheetId="22" state="visible" r:id="rId22"/>
    <sheet xmlns:r="http://schemas.openxmlformats.org/officeDocument/2006/relationships" name="index_altered" sheetId="23" state="visible" r:id="rId23"/>
    <sheet xmlns:r="http://schemas.openxmlformats.org/officeDocument/2006/relationships" name="index_temp" sheetId="24" state="visible" r:id="rId24"/>
    <sheet xmlns:r="http://schemas.openxmlformats.org/officeDocument/2006/relationships" name="CSVIMPORTS" sheetId="25" state="visible" r:id="rId25"/>
  </sheets>
  <externalReferences>
    <externalReference xmlns:r="http://schemas.openxmlformats.org/officeDocument/2006/relationships" r:id="rId26"/>
    <externalReference xmlns:r="http://schemas.openxmlformats.org/officeDocument/2006/relationships" r:id="rId27"/>
  </externalReferences>
  <definedNames>
    <definedName name="companies">'Summary Sheet'!$A$2:$D$3</definedName>
    <definedName name="Xsection">SmartSections!$A$1:$B$104</definedName>
    <definedName name="companies" localSheetId="14">'[1]Summary Sheet'!$A$2:$D$3</definedName>
    <definedName name="Xsection" localSheetId="14">[2]SmartSections!$A$1:$B$104</definedName>
    <definedName name="CompA_Figure1" localSheetId="24">CSVIMPORTS!#REF!</definedName>
    <definedName name="CompA_Figure1_1" localSheetId="24">CSVIMPORTS!#REF!</definedName>
    <definedName name="CompA_Figure1_2" localSheetId="24">CSVIMPORTS!#REF!</definedName>
    <definedName name="CompA_Figure2" localSheetId="24">CSVIMPORTS!#REF!</definedName>
    <definedName name="CompA_Figure2_1" localSheetId="24">CSVIMPORTS!#REF!</definedName>
    <definedName name="CompA_Figure2_2" localSheetId="24">CSVIMPORTS!#REF!</definedName>
    <definedName name="CompA_Figure2_3" localSheetId="24">CSVIMPORTS!#REF!</definedName>
    <definedName name="CompA_Figure2_4" localSheetId="24">CSVIMPORTS!#REF!</definedName>
    <definedName name="CompA_Figure2_5" localSheetId="24">CSVIMPORTS!#REF!</definedName>
    <definedName name="CompA_Table1" localSheetId="24">CSVIMPORTS!#REF!</definedName>
    <definedName name="CompA_Table1.csv" localSheetId="24">CSVIMPORTS!#REF!</definedName>
    <definedName name="CompA_Table1_1" localSheetId="24">CSVIMPORTS!#REF!</definedName>
    <definedName name="CompA_Table1_2" localSheetId="24">CSVIMPORTS!#REF!</definedName>
    <definedName name="CompB_Figure1" localSheetId="24">CSVIMPORTS!#REF!</definedName>
    <definedName name="CompB_Figure2" localSheetId="24">CSVIMPORTS!#REF!</definedName>
    <definedName name="CompB_Figure2_1" localSheetId="24">CSVIMPORTS!#REF!</definedName>
    <definedName name="CompB_Table1" localSheetId="24">CSVIMPORTS!#REF!</definedName>
    <definedName name="CompB_Table1.csv" localSheetId="24">CSVIMPORTS!#REF!</definedName>
    <definedName name="CompB_Table1_1" localSheetId="24">CSVIMPORTS!#REF!</definedName>
  </definedNames>
  <calcPr calcId="191029" fullCalcOnLoad="1"/>
</workbook>
</file>

<file path=xl/styles.xml><?xml version="1.0" encoding="utf-8"?>
<styleSheet xmlns="http://schemas.openxmlformats.org/spreadsheetml/2006/main">
  <numFmts count="2">
    <numFmt numFmtId="164" formatCode="0.0%"/>
    <numFmt numFmtId="165" formatCode="_(&quot;$&quot;* #,##0.00_);_(&quot;$&quot;* \(#,##0.00\);_(&quot;$&quot;* &quot;-&quot;??_);_(@_)"/>
  </numFmts>
  <fonts count="68">
    <font>
      <name val="Arial"/>
      <sz val="10"/>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theme="1"/>
      <sz val="11"/>
      <scheme val="minor"/>
    </font>
    <font>
      <name val="Calibri"/>
      <family val="2"/>
      <color indexed="8"/>
      <sz val="11"/>
    </font>
    <font>
      <name val="MS Sans Serif"/>
      <family val="2"/>
      <sz val="10"/>
    </font>
    <font>
      <name val="Arial"/>
      <family val="2"/>
      <sz val="10"/>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Wingdings"/>
      <charset val="2"/>
      <sz val="8"/>
    </font>
    <font>
      <name val="Times New Roman"/>
      <family val="1"/>
      <sz val="12"/>
    </font>
    <font>
      <name val="Times New Roman"/>
      <family val="1"/>
      <color theme="1"/>
      <sz val="11"/>
    </font>
    <font>
      <name val="Times New Roman"/>
      <family val="1"/>
      <b val="1"/>
      <color theme="1"/>
      <sz val="11"/>
    </font>
    <font>
      <name val="Times New Roman"/>
      <family val="1"/>
      <b val="1"/>
      <color theme="0"/>
      <sz val="11"/>
    </font>
    <font>
      <name val="Times New Roman"/>
      <family val="1"/>
      <sz val="11"/>
    </font>
    <font>
      <name val="Times New Roman"/>
      <family val="1"/>
      <b val="1"/>
      <sz val="11"/>
    </font>
    <font>
      <name val="Wingdings"/>
      <charset val="2"/>
      <sz val="7"/>
    </font>
    <font>
      <name val="Wingdings"/>
      <charset val="2"/>
      <b val="1"/>
      <sz val="7"/>
    </font>
    <font>
      <name val="Times New Roman"/>
      <family val="1"/>
      <b val="1"/>
      <sz val="12"/>
    </font>
    <font>
      <name val="Arial"/>
      <family val="2"/>
      <b val="1"/>
      <sz val="10"/>
    </font>
    <font>
      <name val="Wingdings"/>
      <charset val="2"/>
      <sz val="6"/>
    </font>
    <font>
      <name val="Calibri"/>
      <family val="2"/>
      <sz val="11"/>
    </font>
    <font>
      <name val="Tahoma"/>
      <family val="2"/>
      <b val="1"/>
      <color indexed="81"/>
      <sz val="9"/>
    </font>
    <font>
      <name val="Tahoma"/>
      <family val="2"/>
      <color indexed="81"/>
      <sz val="9"/>
    </font>
    <font>
      <name val="Arial"/>
      <family val="2"/>
      <sz val="12"/>
    </font>
    <font>
      <name val="Arial"/>
      <family val="2"/>
      <b val="1"/>
      <sz val="12"/>
    </font>
    <font>
      <name val="Times New Roman"/>
      <family val="1"/>
      <b val="1"/>
      <i val="1"/>
      <sz val="11"/>
    </font>
    <font>
      <name val="Arial"/>
      <family val="2"/>
      <color rgb="FFFF0000"/>
      <sz val="12"/>
    </font>
    <font>
      <name val="Times New Roman"/>
      <family val="1"/>
      <b val="1"/>
      <color theme="0"/>
      <sz val="11"/>
    </font>
    <font>
      <name val="Times New Roman"/>
      <family val="1"/>
      <sz val="11"/>
    </font>
    <font>
      <name val="Times New Roman"/>
      <family val="1"/>
      <color theme="1"/>
      <sz val="11"/>
    </font>
    <font>
      <name val="Arial"/>
      <family val="2"/>
      <b val="1"/>
      <sz val="18"/>
    </font>
    <font>
      <name val="Arial"/>
      <family val="2"/>
      <b val="1"/>
      <i val="1"/>
      <sz val="10"/>
    </font>
    <font>
      <name val="Times New Roman"/>
      <family val="1"/>
      <color theme="0"/>
      <sz val="11"/>
    </font>
    <font>
      <name val="Showcard Gothic"/>
      <family val="5"/>
      <b val="1"/>
      <color theme="0"/>
      <sz val="11"/>
    </font>
    <font>
      <name val="Tahoma"/>
      <charset val="1"/>
      <color indexed="81"/>
      <sz val="9"/>
    </font>
    <font>
      <name val="Tahoma"/>
      <charset val="1"/>
      <b val="1"/>
      <color indexed="81"/>
      <sz val="9"/>
    </font>
    <font>
      <name val="Arial"/>
      <color theme="10"/>
      <sz val="10"/>
      <u val="single"/>
    </font>
    <font>
      <name val="Arial"/>
      <family val="2"/>
      <sz val="11"/>
    </font>
    <font>
      <name val="Arial"/>
      <family val="2"/>
      <color theme="1"/>
      <sz val="11"/>
    </font>
    <font>
      <name val="Arial"/>
      <sz val="10"/>
    </font>
  </fonts>
  <fills count="43">
    <fill>
      <patternFill/>
    </fill>
    <fill>
      <patternFill patternType="gray125"/>
    </fill>
    <fill>
      <patternFill patternType="solid">
        <fgColor theme="0" tint="-0.1499679555650502"/>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0" tint="-0.1499984740745262"/>
        <bgColor indexed="64"/>
      </patternFill>
    </fill>
    <fill>
      <patternFill patternType="solid">
        <fgColor rgb="FFFF0000"/>
        <bgColor indexed="64"/>
      </patternFill>
    </fill>
    <fill>
      <patternFill patternType="solid">
        <fgColor theme="4" tint="-0.499984740745262"/>
        <bgColor indexed="64"/>
      </patternFill>
    </fill>
    <fill>
      <patternFill patternType="solid">
        <fgColor theme="0" tint="-0.249946592608417"/>
        <bgColor indexed="64"/>
      </patternFill>
    </fill>
    <fill>
      <patternFill patternType="solid">
        <fgColor theme="0" tint="-0.249977111117893"/>
        <bgColor indexed="64"/>
      </patternFill>
    </fill>
    <fill>
      <patternFill patternType="solid">
        <fgColor theme="3" tint="0.5999633777886288"/>
        <bgColor indexed="64"/>
      </patternFill>
    </fill>
    <fill>
      <patternFill patternType="solid">
        <fgColor rgb="FF00206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theme="0"/>
      </right>
      <top style="thin">
        <color indexed="64"/>
      </top>
      <bottom/>
      <diagonal/>
    </border>
    <border>
      <left style="thin">
        <color theme="0"/>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auto="1"/>
      </right>
      <top style="medium">
        <color indexed="64"/>
      </top>
      <bottom/>
      <diagonal/>
    </border>
    <border>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top/>
      <bottom/>
      <diagonal/>
    </border>
    <border>
      <left style="thin">
        <color auto="1"/>
      </left>
      <right style="thin">
        <color theme="0"/>
      </right>
      <top/>
      <bottom/>
      <diagonal/>
    </border>
    <border>
      <left style="thin">
        <color auto="1"/>
      </left>
      <right style="thin">
        <color theme="0"/>
      </right>
      <top/>
      <bottom style="thin">
        <color theme="0"/>
      </bottom>
      <diagonal/>
    </border>
    <border>
      <left/>
      <right/>
      <top style="thin">
        <color auto="1"/>
      </top>
      <bottom/>
      <diagonal/>
    </border>
    <border>
      <left/>
      <right style="thin">
        <color theme="0"/>
      </right>
      <top style="thin">
        <color auto="1"/>
      </top>
      <bottom/>
      <diagonal/>
    </border>
    <border>
      <left/>
      <right style="thin">
        <color theme="0"/>
      </right>
      <top style="thin">
        <color auto="1"/>
      </top>
      <bottom style="thin">
        <color theme="0"/>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312">
    <xf numFmtId="0" fontId="67" fillId="0" borderId="0"/>
    <xf numFmtId="0" fontId="16" fillId="0" borderId="0"/>
    <xf numFmtId="44" fontId="17" fillId="0" borderId="0"/>
    <xf numFmtId="43" fontId="17" fillId="0" borderId="0"/>
    <xf numFmtId="0" fontId="18" fillId="0" borderId="0"/>
    <xf numFmtId="9" fontId="18" fillId="0" borderId="0"/>
    <xf numFmtId="9" fontId="17" fillId="0" borderId="0"/>
    <xf numFmtId="0" fontId="19" fillId="0" borderId="0"/>
    <xf numFmtId="0" fontId="16" fillId="0" borderId="0"/>
    <xf numFmtId="44" fontId="19" fillId="0" borderId="0"/>
    <xf numFmtId="9" fontId="19" fillId="0" borderId="0"/>
    <xf numFmtId="0" fontId="20" fillId="0" borderId="0"/>
    <xf numFmtId="0" fontId="21" fillId="0" borderId="4"/>
    <xf numFmtId="0" fontId="22" fillId="0" borderId="5"/>
    <xf numFmtId="0" fontId="23" fillId="0" borderId="6"/>
    <xf numFmtId="0" fontId="23" fillId="0" borderId="0"/>
    <xf numFmtId="0" fontId="24" fillId="5" borderId="0"/>
    <xf numFmtId="0" fontId="25" fillId="6" borderId="0"/>
    <xf numFmtId="0" fontId="26" fillId="7" borderId="0"/>
    <xf numFmtId="0" fontId="27" fillId="8" borderId="7"/>
    <xf numFmtId="0" fontId="28" fillId="9" borderId="8"/>
    <xf numFmtId="0" fontId="29" fillId="9" borderId="7"/>
    <xf numFmtId="0" fontId="30" fillId="0" borderId="9"/>
    <xf numFmtId="0" fontId="31" fillId="10" borderId="10"/>
    <xf numFmtId="0" fontId="32" fillId="0" borderId="0"/>
    <xf numFmtId="0" fontId="33" fillId="0" borderId="0"/>
    <xf numFmtId="0" fontId="34" fillId="0" borderId="12"/>
    <xf numFmtId="0" fontId="35" fillId="12" borderId="0"/>
    <xf numFmtId="0" fontId="16" fillId="13" borderId="0"/>
    <xf numFmtId="0" fontId="16" fillId="14" borderId="0"/>
    <xf numFmtId="0" fontId="35" fillId="15" borderId="0"/>
    <xf numFmtId="0" fontId="35" fillId="16" borderId="0"/>
    <xf numFmtId="0" fontId="16" fillId="17" borderId="0"/>
    <xf numFmtId="0" fontId="16" fillId="18" borderId="0"/>
    <xf numFmtId="0" fontId="35" fillId="19" borderId="0"/>
    <xf numFmtId="0" fontId="35" fillId="20" borderId="0"/>
    <xf numFmtId="0" fontId="16" fillId="21" borderId="0"/>
    <xf numFmtId="0" fontId="16" fillId="22" borderId="0"/>
    <xf numFmtId="0" fontId="35" fillId="23" borderId="0"/>
    <xf numFmtId="0" fontId="35" fillId="24" borderId="0"/>
    <xf numFmtId="0" fontId="16" fillId="25" borderId="0"/>
    <xf numFmtId="0" fontId="16" fillId="26" borderId="0"/>
    <xf numFmtId="0" fontId="35" fillId="27" borderId="0"/>
    <xf numFmtId="0" fontId="35" fillId="28" borderId="0"/>
    <xf numFmtId="0" fontId="16" fillId="29" borderId="0"/>
    <xf numFmtId="0" fontId="16" fillId="30" borderId="0"/>
    <xf numFmtId="0" fontId="35" fillId="31" borderId="0"/>
    <xf numFmtId="0" fontId="35" fillId="32" borderId="0"/>
    <xf numFmtId="0" fontId="16" fillId="33" borderId="0"/>
    <xf numFmtId="0" fontId="16" fillId="34" borderId="0"/>
    <xf numFmtId="0" fontId="35" fillId="35" borderId="0"/>
    <xf numFmtId="0" fontId="16" fillId="0" borderId="0"/>
    <xf numFmtId="0" fontId="16" fillId="0" borderId="0"/>
    <xf numFmtId="0" fontId="16" fillId="11" borderId="11"/>
    <xf numFmtId="0" fontId="16" fillId="0" borderId="0"/>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0" borderId="0"/>
    <xf numFmtId="0" fontId="16" fillId="0" borderId="0"/>
    <xf numFmtId="0" fontId="16" fillId="0"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0"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9" fillId="0" borderId="0"/>
    <xf numFmtId="0" fontId="16" fillId="0" borderId="0"/>
    <xf numFmtId="0" fontId="16" fillId="0" borderId="0"/>
    <xf numFmtId="0" fontId="16" fillId="0" borderId="0"/>
    <xf numFmtId="0" fontId="16" fillId="0" borderId="0"/>
    <xf numFmtId="0" fontId="16" fillId="11" borderId="11"/>
    <xf numFmtId="0" fontId="16" fillId="0" borderId="0"/>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0" borderId="0"/>
    <xf numFmtId="0" fontId="16" fillId="0" borderId="0"/>
    <xf numFmtId="0" fontId="16" fillId="0" borderId="0"/>
    <xf numFmtId="9" fontId="19" fillId="0"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0"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16" fillId="0" borderId="0"/>
    <xf numFmtId="0" fontId="16" fillId="11" borderId="11"/>
    <xf numFmtId="0" fontId="16" fillId="13" borderId="0"/>
    <xf numFmtId="0" fontId="16" fillId="14" borderId="0"/>
    <xf numFmtId="0" fontId="16" fillId="17" borderId="0"/>
    <xf numFmtId="0" fontId="16" fillId="18" borderId="0"/>
    <xf numFmtId="0" fontId="16" fillId="21" borderId="0"/>
    <xf numFmtId="0" fontId="16" fillId="22" borderId="0"/>
    <xf numFmtId="0" fontId="16" fillId="25" borderId="0"/>
    <xf numFmtId="0" fontId="16" fillId="26" borderId="0"/>
    <xf numFmtId="0" fontId="16" fillId="29" borderId="0"/>
    <xf numFmtId="0" fontId="16" fillId="30" borderId="0"/>
    <xf numFmtId="0" fontId="16" fillId="33" borderId="0"/>
    <xf numFmtId="0" fontId="16" fillId="34" borderId="0"/>
    <xf numFmtId="0" fontId="64" fillId="0" borderId="0"/>
    <xf numFmtId="44" fontId="67" fillId="0" borderId="0"/>
  </cellStyleXfs>
  <cellXfs count="184">
    <xf numFmtId="0" fontId="0" fillId="0" borderId="0" pivotButton="0" quotePrefix="0" xfId="0"/>
    <xf numFmtId="0" fontId="19" fillId="0" borderId="0" pivotButton="0" quotePrefix="0" xfId="7"/>
    <xf numFmtId="0" fontId="38" fillId="4" borderId="0" pivotButton="0" quotePrefix="0" xfId="69"/>
    <xf numFmtId="0" fontId="39" fillId="0" borderId="21" applyAlignment="1" pivotButton="0" quotePrefix="0" xfId="70">
      <alignment horizontal="center" vertical="center"/>
    </xf>
    <xf numFmtId="0" fontId="38" fillId="0" borderId="2" applyAlignment="1" pivotButton="0" quotePrefix="0" xfId="70">
      <alignment vertical="center"/>
    </xf>
    <xf numFmtId="0" fontId="38" fillId="0" borderId="3" applyAlignment="1" pivotButton="0" quotePrefix="0" xfId="70">
      <alignment vertical="center"/>
    </xf>
    <xf numFmtId="0" fontId="41" fillId="0" borderId="0" pivotButton="0" quotePrefix="0" xfId="0"/>
    <xf numFmtId="0" fontId="41" fillId="2" borderId="0" pivotButton="0" quotePrefix="0" xfId="0"/>
    <xf numFmtId="0" fontId="41" fillId="0" borderId="0" applyAlignment="1" pivotButton="0" quotePrefix="0" xfId="0">
      <alignment vertical="center" wrapText="1"/>
    </xf>
    <xf numFmtId="0" fontId="41" fillId="4" borderId="0" pivotButton="0" quotePrefix="0" xfId="0"/>
    <xf numFmtId="0" fontId="41" fillId="0" borderId="0" pivotButton="0" quotePrefix="0" xfId="7"/>
    <xf numFmtId="164" fontId="41" fillId="0" borderId="0" pivotButton="0" quotePrefix="0" xfId="7"/>
    <xf numFmtId="0" fontId="41" fillId="36" borderId="0" pivotButton="0" quotePrefix="0" xfId="0"/>
    <xf numFmtId="0" fontId="42" fillId="0" borderId="20" applyAlignment="1" pivotButton="0" quotePrefix="0" xfId="7">
      <alignment horizontal="center" vertical="center"/>
    </xf>
    <xf numFmtId="0" fontId="42" fillId="0" borderId="21" applyAlignment="1" pivotButton="0" quotePrefix="0" xfId="7">
      <alignment vertical="center"/>
    </xf>
    <xf numFmtId="0" fontId="42" fillId="0" borderId="22" applyAlignment="1" pivotButton="0" quotePrefix="0" xfId="7">
      <alignment vertical="center"/>
    </xf>
    <xf numFmtId="0" fontId="42" fillId="0" borderId="20" pivotButton="0" quotePrefix="0" xfId="0"/>
    <xf numFmtId="0" fontId="42" fillId="0" borderId="22" pivotButton="0" quotePrefix="0" xfId="0"/>
    <xf numFmtId="0" fontId="42" fillId="2" borderId="0" pivotButton="0" quotePrefix="0" xfId="0"/>
    <xf numFmtId="0" fontId="42" fillId="3" borderId="1" pivotButton="0" quotePrefix="0" xfId="0"/>
    <xf numFmtId="0" fontId="41" fillId="0" borderId="2" applyAlignment="1" pivotButton="0" quotePrefix="0" xfId="7">
      <alignment vertical="center"/>
    </xf>
    <xf numFmtId="0" fontId="41" fillId="0" borderId="19" applyAlignment="1" pivotButton="0" quotePrefix="0" xfId="7">
      <alignment vertical="center"/>
    </xf>
    <xf numFmtId="0" fontId="41" fillId="0" borderId="18" pivotButton="0" quotePrefix="0" xfId="0"/>
    <xf numFmtId="0" fontId="41" fillId="0" borderId="19" pivotButton="0" quotePrefix="0" xfId="0"/>
    <xf numFmtId="0" fontId="41" fillId="3" borderId="2" pivotButton="0" quotePrefix="0" xfId="0"/>
    <xf numFmtId="0" fontId="41" fillId="3" borderId="1" pivotButton="0" quotePrefix="0" xfId="0"/>
    <xf numFmtId="0" fontId="41" fillId="0" borderId="3" applyAlignment="1" pivotButton="0" quotePrefix="0" xfId="7">
      <alignment vertical="center"/>
    </xf>
    <xf numFmtId="0" fontId="41" fillId="0" borderId="16" applyAlignment="1" pivotButton="0" quotePrefix="0" xfId="7">
      <alignment vertical="center"/>
    </xf>
    <xf numFmtId="0" fontId="41" fillId="0" borderId="15" pivotButton="0" quotePrefix="0" xfId="0"/>
    <xf numFmtId="0" fontId="41" fillId="0" borderId="16" pivotButton="0" quotePrefix="0" xfId="0"/>
    <xf numFmtId="0" fontId="41" fillId="3" borderId="3" pivotButton="0" quotePrefix="0" xfId="0"/>
    <xf numFmtId="0" fontId="41" fillId="0" borderId="3" pivotButton="0" quotePrefix="0" xfId="0"/>
    <xf numFmtId="0" fontId="41" fillId="0" borderId="13" pivotButton="0" quotePrefix="0" xfId="0"/>
    <xf numFmtId="0" fontId="41" fillId="0" borderId="14" pivotButton="0" quotePrefix="0" xfId="0"/>
    <xf numFmtId="0" fontId="41" fillId="0" borderId="17" pivotButton="0" quotePrefix="0" xfId="0"/>
    <xf numFmtId="0" fontId="41" fillId="36" borderId="0" pivotButton="0" quotePrefix="0" xfId="7"/>
    <xf numFmtId="0" fontId="41" fillId="2" borderId="0" applyAlignment="1" pivotButton="0" quotePrefix="0" xfId="0">
      <alignment vertical="center"/>
    </xf>
    <xf numFmtId="0" fontId="42" fillId="2" borderId="3" applyAlignment="1" pivotButton="0" quotePrefix="0" xfId="0">
      <alignment horizontal="left" vertical="center" wrapText="1"/>
    </xf>
    <xf numFmtId="0" fontId="42" fillId="2" borderId="3" applyAlignment="1" pivotButton="0" quotePrefix="0" xfId="0">
      <alignment vertical="center" wrapText="1"/>
    </xf>
    <xf numFmtId="0" fontId="42" fillId="2" borderId="0" applyAlignment="1" pivotButton="0" quotePrefix="0" xfId="7">
      <alignment vertical="center"/>
    </xf>
    <xf numFmtId="0" fontId="41" fillId="3" borderId="2" applyAlignment="1" pivotButton="0" quotePrefix="0" xfId="7">
      <alignment vertical="center"/>
    </xf>
    <xf numFmtId="0" fontId="41" fillId="3" borderId="2" applyAlignment="1" pivotButton="0" quotePrefix="0" xfId="0">
      <alignment vertical="center"/>
    </xf>
    <xf numFmtId="0" fontId="41" fillId="3" borderId="3" applyAlignment="1" pivotButton="0" quotePrefix="0" xfId="0">
      <alignment vertical="center"/>
    </xf>
    <xf numFmtId="0" fontId="41" fillId="2" borderId="0" applyAlignment="1" pivotButton="0" quotePrefix="0" xfId="7">
      <alignment vertical="center"/>
    </xf>
    <xf numFmtId="0" fontId="41" fillId="3" borderId="3" applyAlignment="1" pivotButton="0" quotePrefix="0" xfId="7">
      <alignment vertical="center"/>
    </xf>
    <xf numFmtId="0" fontId="41" fillId="0" borderId="0" applyAlignment="1" pivotButton="0" quotePrefix="0" xfId="7">
      <alignment vertical="center"/>
    </xf>
    <xf numFmtId="0" fontId="41" fillId="3" borderId="1" applyAlignment="1" pivotButton="0" quotePrefix="0" xfId="0">
      <alignment vertical="center"/>
    </xf>
    <xf numFmtId="0" fontId="42" fillId="0" borderId="0" applyAlignment="1" pivotButton="0" quotePrefix="0" xfId="0">
      <alignment vertical="center" wrapText="1"/>
    </xf>
    <xf numFmtId="0" fontId="19" fillId="0" borderId="0" pivotButton="0" quotePrefix="0" xfId="0"/>
    <xf numFmtId="0" fontId="9" fillId="0" borderId="0" pivotButton="0" quotePrefix="0" xfId="86"/>
    <xf numFmtId="0" fontId="41" fillId="3" borderId="15" pivotButton="0" quotePrefix="0" xfId="0"/>
    <xf numFmtId="0" fontId="41" fillId="3" borderId="16" pivotButton="0" quotePrefix="0" xfId="0"/>
    <xf numFmtId="0" fontId="44" fillId="0" borderId="0" applyAlignment="1" pivotButton="0" quotePrefix="0" xfId="0">
      <alignment horizontal="center"/>
    </xf>
    <xf numFmtId="0" fontId="43" fillId="0" borderId="0" applyAlignment="1" pivotButton="0" quotePrefix="0" xfId="0">
      <alignment horizontal="center"/>
    </xf>
    <xf numFmtId="0" fontId="36" fillId="0" borderId="0" applyAlignment="1" pivotButton="0" quotePrefix="0" xfId="0">
      <alignment vertical="center"/>
    </xf>
    <xf numFmtId="2" fontId="19" fillId="2" borderId="0" pivotButton="0" quotePrefix="0" xfId="0"/>
    <xf numFmtId="2" fontId="0" fillId="2" borderId="0" pivotButton="0" quotePrefix="0" xfId="0"/>
    <xf numFmtId="2" fontId="46" fillId="2" borderId="0" pivotButton="0" quotePrefix="0" xfId="0"/>
    <xf numFmtId="2" fontId="0" fillId="3" borderId="0" pivotButton="0" quotePrefix="0" xfId="0"/>
    <xf numFmtId="2" fontId="19" fillId="37" borderId="0" pivotButton="0" quotePrefix="0" xfId="0"/>
    <xf numFmtId="2" fontId="0" fillId="37" borderId="0" pivotButton="0" quotePrefix="0" xfId="0"/>
    <xf numFmtId="2" fontId="0" fillId="3" borderId="3" pivotButton="0" quotePrefix="0" xfId="0"/>
    <xf numFmtId="2" fontId="19" fillId="3" borderId="3" pivotButton="0" quotePrefix="0" xfId="0"/>
    <xf numFmtId="1" fontId="41" fillId="0" borderId="3" pivotButton="0" quotePrefix="0" xfId="7"/>
    <xf numFmtId="0" fontId="39" fillId="0" borderId="0" pivotButton="0" quotePrefix="0" xfId="69"/>
    <xf numFmtId="0" fontId="42" fillId="0" borderId="0" pivotButton="0" quotePrefix="0" xfId="7"/>
    <xf numFmtId="0" fontId="40" fillId="38" borderId="23" applyAlignment="1" pivotButton="0" quotePrefix="0" xfId="7">
      <alignment horizontal="center" vertical="center" wrapText="1"/>
    </xf>
    <xf numFmtId="0" fontId="40" fillId="38" borderId="24" applyAlignment="1" pivotButton="0" quotePrefix="0" xfId="7">
      <alignment horizontal="center" vertical="center" wrapText="1"/>
    </xf>
    <xf numFmtId="0" fontId="0" fillId="4" borderId="0" pivotButton="0" quotePrefix="0" xfId="0"/>
    <xf numFmtId="0" fontId="42" fillId="3" borderId="3" pivotButton="0" quotePrefix="0" xfId="0"/>
    <xf numFmtId="0" fontId="37" fillId="2" borderId="0" pivotButton="0" quotePrefix="0" xfId="0"/>
    <xf numFmtId="0" fontId="45" fillId="2" borderId="0" applyAlignment="1" pivotButton="0" quotePrefix="0" xfId="0">
      <alignment vertical="center"/>
    </xf>
    <xf numFmtId="0" fontId="41" fillId="3" borderId="0" pivotButton="0" quotePrefix="0" xfId="0"/>
    <xf numFmtId="0" fontId="37" fillId="3" borderId="0" pivotButton="0" quotePrefix="0" xfId="0"/>
    <xf numFmtId="0" fontId="41" fillId="3" borderId="1" applyAlignment="1" pivotButton="0" quotePrefix="0" xfId="0">
      <alignment horizontal="right"/>
    </xf>
    <xf numFmtId="1" fontId="41" fillId="3" borderId="1" applyAlignment="1" pivotButton="0" quotePrefix="0" xfId="0">
      <alignment horizontal="right"/>
    </xf>
    <xf numFmtId="164" fontId="41" fillId="3" borderId="1" applyAlignment="1" pivotButton="0" quotePrefix="0" xfId="0">
      <alignment horizontal="right"/>
    </xf>
    <xf numFmtId="9" fontId="41" fillId="3" borderId="1" applyAlignment="1" pivotButton="0" quotePrefix="0" xfId="0">
      <alignment horizontal="right"/>
    </xf>
    <xf numFmtId="2" fontId="41" fillId="3" borderId="1" applyAlignment="1" pivotButton="0" quotePrefix="0" xfId="0">
      <alignment horizontal="right"/>
    </xf>
    <xf numFmtId="0" fontId="42" fillId="3" borderId="1" applyAlignment="1" pivotButton="0" quotePrefix="0" xfId="0">
      <alignment horizontal="center"/>
    </xf>
    <xf numFmtId="0" fontId="41" fillId="39" borderId="0" pivotButton="0" quotePrefix="0" xfId="0"/>
    <xf numFmtId="0" fontId="42" fillId="3" borderId="3" applyAlignment="1" pivotButton="0" quotePrefix="0" xfId="0">
      <alignment wrapText="1"/>
    </xf>
    <xf numFmtId="0" fontId="0" fillId="36" borderId="0" pivotButton="0" quotePrefix="0" xfId="0"/>
    <xf numFmtId="0" fontId="51" fillId="3" borderId="0" pivotButton="0" quotePrefix="0" xfId="0"/>
    <xf numFmtId="0" fontId="52" fillId="36" borderId="0" pivotButton="0" quotePrefix="0" xfId="0"/>
    <xf numFmtId="49" fontId="41" fillId="3" borderId="1" applyAlignment="1" pivotButton="0" quotePrefix="0" xfId="0">
      <alignment horizontal="right"/>
    </xf>
    <xf numFmtId="3" fontId="41" fillId="3" borderId="1" applyAlignment="1" pivotButton="0" quotePrefix="0" xfId="0">
      <alignment horizontal="right"/>
    </xf>
    <xf numFmtId="0" fontId="0" fillId="40" borderId="0" pivotButton="0" quotePrefix="0" xfId="0"/>
    <xf numFmtId="0" fontId="19" fillId="40" borderId="0" pivotButton="0" quotePrefix="0" xfId="0"/>
    <xf numFmtId="0" fontId="0" fillId="40" borderId="0" applyAlignment="1" pivotButton="0" quotePrefix="0" xfId="0">
      <alignment wrapText="1"/>
    </xf>
    <xf numFmtId="0" fontId="19" fillId="40" borderId="0" applyAlignment="1" pivotButton="0" quotePrefix="0" xfId="0">
      <alignment wrapText="1"/>
    </xf>
    <xf numFmtId="0" fontId="19" fillId="3" borderId="0" pivotButton="0" quotePrefix="0" xfId="0"/>
    <xf numFmtId="0" fontId="0" fillId="3" borderId="0" pivotButton="0" quotePrefix="0" xfId="0"/>
    <xf numFmtId="0" fontId="37" fillId="3" borderId="0" applyAlignment="1" pivotButton="0" quotePrefix="0" xfId="0">
      <alignment horizontal="left" wrapText="1"/>
    </xf>
    <xf numFmtId="0" fontId="48" fillId="3" borderId="0" applyAlignment="1" pivotButton="0" quotePrefix="0" xfId="0">
      <alignment vertical="center" wrapText="1"/>
    </xf>
    <xf numFmtId="0" fontId="45" fillId="3" borderId="0" applyAlignment="1" pivotButton="0" quotePrefix="0" xfId="0">
      <alignment horizontal="left" wrapText="1"/>
    </xf>
    <xf numFmtId="0" fontId="46" fillId="3" borderId="0" pivotButton="0" quotePrefix="0" xfId="0"/>
    <xf numFmtId="0" fontId="46" fillId="40" borderId="0" pivotButton="0" quotePrefix="0" xfId="0"/>
    <xf numFmtId="49" fontId="19" fillId="3" borderId="0" pivotButton="0" quotePrefix="0" xfId="0"/>
    <xf numFmtId="49" fontId="0" fillId="3" borderId="0" pivotButton="0" quotePrefix="0" xfId="0"/>
    <xf numFmtId="49" fontId="46" fillId="3" borderId="0" pivotButton="0" quotePrefix="0" xfId="0"/>
    <xf numFmtId="0" fontId="41" fillId="40" borderId="0" pivotButton="0" quotePrefix="0" xfId="0"/>
    <xf numFmtId="0" fontId="42" fillId="40" borderId="0" pivotButton="0" quotePrefix="0" xfId="0"/>
    <xf numFmtId="0" fontId="41" fillId="37" borderId="0" pivotButton="0" quotePrefix="0" xfId="0"/>
    <xf numFmtId="0" fontId="53" fillId="2" borderId="0" pivotButton="0" quotePrefix="0" xfId="0"/>
    <xf numFmtId="0" fontId="36" fillId="0" borderId="0" pivotButton="0" quotePrefix="0" xfId="0"/>
    <xf numFmtId="49" fontId="41" fillId="0" borderId="3" pivotButton="0" quotePrefix="0" xfId="7"/>
    <xf numFmtId="0" fontId="45" fillId="36" borderId="0" pivotButton="0" quotePrefix="0" xfId="185"/>
    <xf numFmtId="0" fontId="45" fillId="36" borderId="0" applyAlignment="1" pivotButton="0" quotePrefix="0" xfId="185">
      <alignment wrapText="1"/>
    </xf>
    <xf numFmtId="0" fontId="19" fillId="36" borderId="0" pivotButton="0" quotePrefix="0" xfId="185"/>
    <xf numFmtId="0" fontId="46" fillId="3" borderId="3" pivotButton="0" quotePrefix="0" xfId="185"/>
    <xf numFmtId="0" fontId="19" fillId="3" borderId="3" pivotButton="0" quotePrefix="0" xfId="185"/>
    <xf numFmtId="0" fontId="51" fillId="3" borderId="3" applyAlignment="1" pivotButton="0" quotePrefix="0" xfId="185">
      <alignment horizontal="center"/>
    </xf>
    <xf numFmtId="0" fontId="54" fillId="0" borderId="3" applyAlignment="1" pivotButton="0" quotePrefix="0" xfId="185">
      <alignment vertical="center"/>
    </xf>
    <xf numFmtId="0" fontId="56" fillId="0" borderId="0" pivotButton="0" quotePrefix="0" xfId="7"/>
    <xf numFmtId="1" fontId="56" fillId="0" borderId="2" pivotButton="0" quotePrefix="0" xfId="7"/>
    <xf numFmtId="0" fontId="57" fillId="4" borderId="0" pivotButton="0" quotePrefix="0" xfId="69"/>
    <xf numFmtId="1" fontId="56" fillId="0" borderId="3" pivotButton="0" quotePrefix="0" xfId="7"/>
    <xf numFmtId="0" fontId="58" fillId="41" borderId="0" pivotButton="0" quotePrefix="0" xfId="0"/>
    <xf numFmtId="0" fontId="0" fillId="41" borderId="0" pivotButton="0" quotePrefix="0" xfId="0"/>
    <xf numFmtId="0" fontId="19" fillId="41" borderId="0" pivotButton="0" quotePrefix="0" xfId="0"/>
    <xf numFmtId="0" fontId="46" fillId="41" borderId="0" pivotButton="0" quotePrefix="0" xfId="0"/>
    <xf numFmtId="0" fontId="59" fillId="41" borderId="0" pivotButton="0" quotePrefix="0" xfId="0"/>
    <xf numFmtId="49" fontId="41" fillId="0" borderId="0" pivotButton="0" quotePrefix="0" xfId="7"/>
    <xf numFmtId="1" fontId="41" fillId="0" borderId="0" pivotButton="0" quotePrefix="0" xfId="7"/>
    <xf numFmtId="0" fontId="19" fillId="4" borderId="0" pivotButton="0" quotePrefix="0" xfId="0"/>
    <xf numFmtId="9" fontId="41" fillId="0" borderId="3" pivotButton="0" quotePrefix="0" xfId="7"/>
    <xf numFmtId="49" fontId="60" fillId="42" borderId="31" pivotButton="0" quotePrefix="0" xfId="7"/>
    <xf numFmtId="49" fontId="60" fillId="42" borderId="29" applyAlignment="1" pivotButton="0" quotePrefix="0" xfId="7">
      <alignment horizontal="left" vertical="top"/>
    </xf>
    <xf numFmtId="49" fontId="61" fillId="38" borderId="3" applyAlignment="1" pivotButton="0" quotePrefix="0" xfId="7">
      <alignment horizontal="center" vertical="center" wrapText="1"/>
    </xf>
    <xf numFmtId="49" fontId="56" fillId="0" borderId="2" pivotButton="0" quotePrefix="0" xfId="7"/>
    <xf numFmtId="49" fontId="56" fillId="0" borderId="3" pivotButton="0" quotePrefix="0" xfId="7"/>
    <xf numFmtId="49" fontId="56" fillId="0" borderId="0" applyAlignment="1" pivotButton="0" quotePrefix="0" xfId="7">
      <alignment vertical="center"/>
    </xf>
    <xf numFmtId="49" fontId="56" fillId="0" borderId="0" pivotButton="0" quotePrefix="0" xfId="7"/>
    <xf numFmtId="49" fontId="55" fillId="38" borderId="3" applyAlignment="1" pivotButton="0" quotePrefix="0" xfId="7">
      <alignment horizontal="center" vertical="center" wrapText="1"/>
    </xf>
    <xf numFmtId="49" fontId="60" fillId="42" borderId="30" applyAlignment="1" pivotButton="0" quotePrefix="0" xfId="7">
      <alignment horizontal="center" vertical="center" wrapText="1"/>
    </xf>
    <xf numFmtId="49" fontId="60" fillId="42" borderId="31" applyAlignment="1" pivotButton="0" quotePrefix="0" xfId="7">
      <alignment horizontal="center" vertical="center"/>
    </xf>
    <xf numFmtId="0" fontId="41" fillId="3" borderId="32" pivotButton="0" quotePrefix="0" xfId="0"/>
    <xf numFmtId="0" fontId="41" fillId="0" borderId="33" applyAlignment="1" pivotButton="0" quotePrefix="0" xfId="7">
      <alignment vertical="center"/>
    </xf>
    <xf numFmtId="0" fontId="41" fillId="0" borderId="27" applyAlignment="1" pivotButton="0" quotePrefix="0" xfId="7">
      <alignment vertical="center"/>
    </xf>
    <xf numFmtId="0" fontId="41" fillId="0" borderId="27" pivotButton="0" quotePrefix="0" xfId="0"/>
    <xf numFmtId="0" fontId="41" fillId="3" borderId="27" pivotButton="0" quotePrefix="0" xfId="0"/>
    <xf numFmtId="0" fontId="41" fillId="0" borderId="34" pivotButton="0" quotePrefix="0" xfId="0"/>
    <xf numFmtId="0" fontId="41" fillId="3" borderId="35" pivotButton="0" quotePrefix="0" xfId="0"/>
    <xf numFmtId="0" fontId="41" fillId="3" borderId="15" applyAlignment="1" pivotButton="0" quotePrefix="0" xfId="0">
      <alignment vertical="center"/>
    </xf>
    <xf numFmtId="0" fontId="41" fillId="3" borderId="13" pivotButton="0" quotePrefix="0" xfId="0"/>
    <xf numFmtId="0" fontId="38" fillId="4" borderId="3" applyAlignment="1" pivotButton="0" quotePrefix="0" xfId="70">
      <alignment vertical="center"/>
    </xf>
    <xf numFmtId="0" fontId="64" fillId="3" borderId="0" pivotButton="0" quotePrefix="0" xfId="310"/>
    <xf numFmtId="0" fontId="65" fillId="0" borderId="0" pivotButton="0" quotePrefix="0" xfId="0"/>
    <xf numFmtId="0" fontId="66" fillId="0" borderId="0" pivotButton="0" quotePrefix="0" xfId="144"/>
    <xf numFmtId="3" fontId="0" fillId="0" borderId="0" pivotButton="0" quotePrefix="0" xfId="0"/>
    <xf numFmtId="49" fontId="0" fillId="0" borderId="0" pivotButton="0" quotePrefix="0" xfId="0"/>
    <xf numFmtId="49" fontId="19" fillId="0" borderId="0" pivotButton="0" quotePrefix="0" xfId="0"/>
    <xf numFmtId="49" fontId="46" fillId="0" borderId="36" pivotButton="0" quotePrefix="0" xfId="0"/>
    <xf numFmtId="165" fontId="0" fillId="0" borderId="0" pivotButton="0" quotePrefix="0" xfId="311"/>
    <xf numFmtId="0" fontId="41" fillId="3" borderId="25" applyAlignment="1" pivotButton="0" quotePrefix="0" xfId="0">
      <alignment horizontal="left"/>
    </xf>
    <xf numFmtId="0" fontId="41" fillId="3" borderId="26" applyAlignment="1" pivotButton="0" quotePrefix="0" xfId="0">
      <alignment horizontal="left"/>
    </xf>
    <xf numFmtId="0" fontId="41" fillId="3" borderId="27" applyAlignment="1" pivotButton="0" quotePrefix="0" xfId="0">
      <alignment horizontal="left"/>
    </xf>
    <xf numFmtId="0" fontId="41" fillId="3" borderId="0" applyAlignment="1" pivotButton="0" quotePrefix="0" xfId="0">
      <alignment horizontal="left"/>
    </xf>
    <xf numFmtId="0" fontId="45" fillId="0" borderId="0" applyAlignment="1" pivotButton="0" quotePrefix="0" xfId="0">
      <alignment horizontal="center"/>
    </xf>
    <xf numFmtId="0" fontId="37" fillId="0" borderId="0" applyAlignment="1" pivotButton="0" quotePrefix="0" xfId="0">
      <alignment horizontal="center"/>
    </xf>
    <xf numFmtId="0" fontId="37" fillId="3" borderId="0" applyAlignment="1" pivotButton="0" quotePrefix="0" xfId="7">
      <alignment horizontal="center" vertical="center"/>
    </xf>
    <xf numFmtId="0" fontId="39" fillId="0" borderId="20" applyAlignment="1" pivotButton="0" quotePrefix="0" xfId="70">
      <alignment horizontal="center" vertical="center"/>
    </xf>
    <xf numFmtId="0" fontId="39" fillId="0" borderId="21" applyAlignment="1" pivotButton="0" quotePrefix="0" xfId="70">
      <alignment horizontal="center" vertical="center"/>
    </xf>
    <xf numFmtId="0" fontId="39" fillId="0" borderId="22" applyAlignment="1" pivotButton="0" quotePrefix="0" xfId="70">
      <alignment horizontal="center" vertical="center"/>
    </xf>
    <xf numFmtId="0" fontId="42" fillId="0" borderId="20" applyAlignment="1" pivotButton="0" quotePrefix="0" xfId="0">
      <alignment horizontal="center"/>
    </xf>
    <xf numFmtId="0" fontId="42" fillId="0" borderId="22" applyAlignment="1" pivotButton="0" quotePrefix="0" xfId="0">
      <alignment horizontal="center"/>
    </xf>
    <xf numFmtId="0" fontId="41" fillId="4" borderId="0" applyAlignment="1" pivotButton="0" quotePrefix="0" xfId="0">
      <alignment horizontal="center" wrapText="1"/>
    </xf>
    <xf numFmtId="49" fontId="40" fillId="42" borderId="28" applyAlignment="1" pivotButton="0" quotePrefix="0" xfId="7">
      <alignment horizontal="center" vertical="center"/>
    </xf>
    <xf numFmtId="49" fontId="40" fillId="42" borderId="30" applyAlignment="1" pivotButton="0" quotePrefix="0" xfId="7">
      <alignment horizontal="center" vertical="center"/>
    </xf>
    <xf numFmtId="49" fontId="40" fillId="42" borderId="28" applyAlignment="1" pivotButton="0" quotePrefix="0" xfId="7">
      <alignment horizontal="center"/>
    </xf>
    <xf numFmtId="49" fontId="40" fillId="42" borderId="29" applyAlignment="1" pivotButton="0" quotePrefix="0" xfId="7">
      <alignment horizontal="center"/>
    </xf>
    <xf numFmtId="49" fontId="41" fillId="0" borderId="3" applyAlignment="1" pivotButton="0" quotePrefix="0" xfId="7">
      <alignment horizontal="center"/>
    </xf>
    <xf numFmtId="0" fontId="41" fillId="3" borderId="1" applyAlignment="1" pivotButton="0" quotePrefix="0" xfId="0">
      <alignment horizontal="left"/>
    </xf>
    <xf numFmtId="0" fontId="0" fillId="0" borderId="26" pivotButton="0" quotePrefix="0" xfId="0"/>
    <xf numFmtId="0" fontId="0" fillId="0" borderId="27" pivotButton="0" quotePrefix="0" xfId="0"/>
    <xf numFmtId="0" fontId="0" fillId="0" borderId="41" pivotButton="0" quotePrefix="0" xfId="0"/>
    <xf numFmtId="0" fontId="0" fillId="0" borderId="42" pivotButton="0" quotePrefix="0" xfId="0"/>
    <xf numFmtId="0" fontId="0" fillId="0" borderId="49" pivotButton="0" quotePrefix="0" xfId="0"/>
    <xf numFmtId="0" fontId="0" fillId="0" borderId="48" pivotButton="0" quotePrefix="0" xfId="0"/>
    <xf numFmtId="0" fontId="0" fillId="0" borderId="51" pivotButton="0" quotePrefix="0" xfId="0"/>
    <xf numFmtId="0" fontId="0" fillId="0" borderId="52" pivotButton="0" quotePrefix="0" xfId="0"/>
    <xf numFmtId="0" fontId="0" fillId="0" borderId="45" pivotButton="0" quotePrefix="0" xfId="0"/>
    <xf numFmtId="165" fontId="0" fillId="0" borderId="0" pivotButton="0" quotePrefix="0" xfId="311"/>
  </cellXfs>
  <cellStyles count="312">
    <cellStyle name="Normal" xfId="0" builtinId="0"/>
    <cellStyle name="Normal 2" xfId="1"/>
    <cellStyle name="Currency 2" xfId="2"/>
    <cellStyle name="Comma 2" xfId="3"/>
    <cellStyle name="Normal 2 2" xfId="4"/>
    <cellStyle name="Percent 2" xfId="5"/>
    <cellStyle name="Percent 3" xfId="6"/>
    <cellStyle name="Normal 3" xfId="7"/>
    <cellStyle name="Normal 2 3" xfId="8"/>
    <cellStyle name="Currency 3" xfId="9"/>
    <cellStyle name="Percent 4" xfId="10"/>
    <cellStyle name="Title" xfId="11" builtinId="15"/>
    <cellStyle name="Heading 1" xfId="12" builtinId="16"/>
    <cellStyle name="Heading 2" xfId="13" builtinId="17"/>
    <cellStyle name="Heading 3" xfId="14" builtinId="18"/>
    <cellStyle name="Heading 4" xfId="15" builtinId="19"/>
    <cellStyle name="Good" xfId="16" builtinId="26"/>
    <cellStyle name="Bad" xfId="17" builtinId="27"/>
    <cellStyle name="Neutral" xfId="18" builtinId="28"/>
    <cellStyle name="Input" xfId="19" builtinId="20"/>
    <cellStyle name="Output" xfId="20" builtinId="21"/>
    <cellStyle name="Calculation" xfId="21" builtinId="22"/>
    <cellStyle name="Linked Cell" xfId="22" builtinId="24"/>
    <cellStyle name="Check Cell" xfId="23" builtinId="23"/>
    <cellStyle name="Warning Text" xfId="24" builtinId="11"/>
    <cellStyle name="Explanatory Text" xfId="25" builtinId="53"/>
    <cellStyle name="Total" xfId="26" builtinId="25"/>
    <cellStyle name="Accent1" xfId="27" builtinId="29"/>
    <cellStyle name="20% - Accent1" xfId="28" builtinId="30"/>
    <cellStyle name="40% - Accent1" xfId="29" builtinId="31"/>
    <cellStyle name="60% - Accent1" xfId="30" builtinId="32"/>
    <cellStyle name="Accent2" xfId="31" builtinId="33"/>
    <cellStyle name="20% - Accent2" xfId="32" builtinId="34"/>
    <cellStyle name="40% - Accent2" xfId="33" builtinId="35"/>
    <cellStyle name="60% - Accent2" xfId="34" builtinId="36"/>
    <cellStyle name="Accent3" xfId="35" builtinId="37"/>
    <cellStyle name="20% - Accent3" xfId="36" builtinId="38"/>
    <cellStyle name="40% - Accent3" xfId="37" builtinId="39"/>
    <cellStyle name="60% - Accent3" xfId="38" builtinId="40"/>
    <cellStyle name="Accent4" xfId="39" builtinId="41"/>
    <cellStyle name="20% - Accent4" xfId="40" builtinId="42"/>
    <cellStyle name="40% - Accent4" xfId="41" builtinId="43"/>
    <cellStyle name="60% - Accent4" xfId="42" builtinId="44"/>
    <cellStyle name="Accent5" xfId="43" builtinId="45"/>
    <cellStyle name="20% - Accent5" xfId="44" builtinId="46"/>
    <cellStyle name="40% - Accent5" xfId="45" builtinId="47"/>
    <cellStyle name="60% - Accent5" xfId="46" builtinId="48"/>
    <cellStyle name="Accent6" xfId="47" builtinId="49"/>
    <cellStyle name="20% - Accent6" xfId="48" builtinId="50"/>
    <cellStyle name="40% - Accent6" xfId="49" builtinId="51"/>
    <cellStyle name="60% - Accent6" xfId="50" builtinId="52"/>
    <cellStyle name="Normal 2 4" xfId="51"/>
    <cellStyle name="Normal 3 2" xfId="52"/>
    <cellStyle name="Note 2" xfId="53"/>
    <cellStyle name="Normal 2 5" xfId="54"/>
    <cellStyle name="20% - Accent1 2" xfId="55"/>
    <cellStyle name="40% - Accent1 2" xfId="56"/>
    <cellStyle name="20% - Accent2 2" xfId="57"/>
    <cellStyle name="40% - Accent2 2" xfId="58"/>
    <cellStyle name="20% - Accent3 2" xfId="59"/>
    <cellStyle name="40% - Accent3 2" xfId="60"/>
    <cellStyle name="20% - Accent4 2" xfId="61"/>
    <cellStyle name="40% - Accent4 2" xfId="62"/>
    <cellStyle name="20% - Accent5 2" xfId="63"/>
    <cellStyle name="40% - Accent5 2" xfId="64"/>
    <cellStyle name="20% - Accent6 2" xfId="65"/>
    <cellStyle name="40% - Accent6 2" xfId="66"/>
    <cellStyle name="Normal 3 3" xfId="67"/>
    <cellStyle name="Note 2 2" xfId="68"/>
    <cellStyle name="Normal 3 4" xfId="69"/>
    <cellStyle name="Normal 2 6" xfId="70"/>
    <cellStyle name="Normal 2 3 2" xfId="71"/>
    <cellStyle name="Normal 4" xfId="72"/>
    <cellStyle name="Note 3" xfId="73"/>
    <cellStyle name="20% - Accent1 3" xfId="74"/>
    <cellStyle name="40% - Accent1 3" xfId="75"/>
    <cellStyle name="20% - Accent2 3" xfId="76"/>
    <cellStyle name="40% - Accent2 3" xfId="77"/>
    <cellStyle name="20% - Accent3 3" xfId="78"/>
    <cellStyle name="40% - Accent3 3" xfId="79"/>
    <cellStyle name="20% - Accent4 3" xfId="80"/>
    <cellStyle name="40% - Accent4 3" xfId="81"/>
    <cellStyle name="20% - Accent5 3" xfId="82"/>
    <cellStyle name="40% - Accent5 3" xfId="83"/>
    <cellStyle name="20% - Accent6 3" xfId="84"/>
    <cellStyle name="40% - Accent6 3" xfId="85"/>
    <cellStyle name="Normal 5" xfId="86"/>
    <cellStyle name="Normal 6" xfId="87"/>
    <cellStyle name="Normal 7" xfId="88"/>
    <cellStyle name="Note 4" xfId="89"/>
    <cellStyle name="20% - Accent1 4" xfId="90"/>
    <cellStyle name="40% - Accent1 4" xfId="91"/>
    <cellStyle name="20% - Accent2 4" xfId="92"/>
    <cellStyle name="40% - Accent2 4" xfId="93"/>
    <cellStyle name="20% - Accent3 4" xfId="94"/>
    <cellStyle name="40% - Accent3 4" xfId="95"/>
    <cellStyle name="20% - Accent4 4" xfId="96"/>
    <cellStyle name="40% - Accent4 4" xfId="97"/>
    <cellStyle name="20% - Accent5 4" xfId="98"/>
    <cellStyle name="40% - Accent5 4" xfId="99"/>
    <cellStyle name="20% - Accent6 4" xfId="100"/>
    <cellStyle name="40% - Accent6 4" xfId="101"/>
    <cellStyle name="Normal 8" xfId="102"/>
    <cellStyle name="Note 5" xfId="103"/>
    <cellStyle name="20% - Accent1 5" xfId="104"/>
    <cellStyle name="40% - Accent1 5" xfId="105"/>
    <cellStyle name="20% - Accent2 5" xfId="106"/>
    <cellStyle name="40% - Accent2 5" xfId="107"/>
    <cellStyle name="20% - Accent3 5" xfId="108"/>
    <cellStyle name="40% - Accent3 5" xfId="109"/>
    <cellStyle name="20% - Accent4 5" xfId="110"/>
    <cellStyle name="40% - Accent4 5" xfId="111"/>
    <cellStyle name="20% - Accent5 5" xfId="112"/>
    <cellStyle name="40% - Accent5 5" xfId="113"/>
    <cellStyle name="20% - Accent6 5" xfId="114"/>
    <cellStyle name="40% - Accent6 5" xfId="115"/>
    <cellStyle name="Normal 9" xfId="116"/>
    <cellStyle name="Note 6" xfId="117"/>
    <cellStyle name="20% - Accent1 6" xfId="118"/>
    <cellStyle name="40% - Accent1 6" xfId="119"/>
    <cellStyle name="20% - Accent2 6" xfId="120"/>
    <cellStyle name="40% - Accent2 6" xfId="121"/>
    <cellStyle name="20% - Accent3 6" xfId="122"/>
    <cellStyle name="40% - Accent3 6" xfId="123"/>
    <cellStyle name="20% - Accent4 6" xfId="124"/>
    <cellStyle name="40% - Accent4 6" xfId="125"/>
    <cellStyle name="20% - Accent5 6" xfId="126"/>
    <cellStyle name="40% - Accent5 6" xfId="127"/>
    <cellStyle name="20% - Accent6 6" xfId="128"/>
    <cellStyle name="40% - Accent6 6" xfId="129"/>
    <cellStyle name="Normal 10" xfId="130"/>
    <cellStyle name="Note 7" xfId="131"/>
    <cellStyle name="20% - Accent1 7" xfId="132"/>
    <cellStyle name="40% - Accent1 7" xfId="133"/>
    <cellStyle name="20% - Accent2 7" xfId="134"/>
    <cellStyle name="40% - Accent2 7" xfId="135"/>
    <cellStyle name="20% - Accent3 7" xfId="136"/>
    <cellStyle name="40% - Accent3 7" xfId="137"/>
    <cellStyle name="20% - Accent4 7" xfId="138"/>
    <cellStyle name="40% - Accent4 7" xfId="139"/>
    <cellStyle name="20% - Accent5 7" xfId="140"/>
    <cellStyle name="40% - Accent5 7" xfId="141"/>
    <cellStyle name="20% - Accent6 7" xfId="142"/>
    <cellStyle name="40% - Accent6 7" xfId="143"/>
    <cellStyle name="Normal 11" xfId="144"/>
    <cellStyle name="Note 8" xfId="145"/>
    <cellStyle name="20% - Accent1 8" xfId="146"/>
    <cellStyle name="40% - Accent1 8" xfId="147"/>
    <cellStyle name="20% - Accent2 8" xfId="148"/>
    <cellStyle name="40% - Accent2 8" xfId="149"/>
    <cellStyle name="20% - Accent3 8" xfId="150"/>
    <cellStyle name="40% - Accent3 8" xfId="151"/>
    <cellStyle name="20% - Accent4 8" xfId="152"/>
    <cellStyle name="40% - Accent4 8" xfId="153"/>
    <cellStyle name="20% - Accent5 8" xfId="154"/>
    <cellStyle name="40% - Accent5 8" xfId="155"/>
    <cellStyle name="20% - Accent6 8" xfId="156"/>
    <cellStyle name="40% - Accent6 8" xfId="157"/>
    <cellStyle name="Normal 12" xfId="158"/>
    <cellStyle name="Note 9" xfId="159"/>
    <cellStyle name="20% - Accent1 9" xfId="160"/>
    <cellStyle name="40% - Accent1 9" xfId="161"/>
    <cellStyle name="20% - Accent2 9" xfId="162"/>
    <cellStyle name="40% - Accent2 9" xfId="163"/>
    <cellStyle name="20% - Accent3 9" xfId="164"/>
    <cellStyle name="40% - Accent3 9" xfId="165"/>
    <cellStyle name="20% - Accent4 9" xfId="166"/>
    <cellStyle name="40% - Accent4 9" xfId="167"/>
    <cellStyle name="20% - Accent5 9" xfId="168"/>
    <cellStyle name="40% - Accent5 9" xfId="169"/>
    <cellStyle name="20% - Accent6 9" xfId="170"/>
    <cellStyle name="40% - Accent6 9" xfId="171"/>
    <cellStyle name="Normal 14" xfId="172"/>
    <cellStyle name="20% - Accent1 10" xfId="173"/>
    <cellStyle name="40% - Accent1 10" xfId="174"/>
    <cellStyle name="20% - Accent2 10" xfId="175"/>
    <cellStyle name="40% - Accent2 10" xfId="176"/>
    <cellStyle name="20% - Accent3 10" xfId="177"/>
    <cellStyle name="40% - Accent3 10" xfId="178"/>
    <cellStyle name="20% - Accent4 10" xfId="179"/>
    <cellStyle name="40% - Accent4 10" xfId="180"/>
    <cellStyle name="20% - Accent5 10" xfId="181"/>
    <cellStyle name="40% - Accent5 10" xfId="182"/>
    <cellStyle name="20% - Accent6 10" xfId="183"/>
    <cellStyle name="40% - Accent6 10" xfId="184"/>
    <cellStyle name="Normal 13" xfId="185"/>
    <cellStyle name="Normal 2 7" xfId="186"/>
    <cellStyle name="Normal 2 3 3" xfId="187"/>
    <cellStyle name="Normal 2 4 2" xfId="188"/>
    <cellStyle name="Normal 3 2 2" xfId="189"/>
    <cellStyle name="Note 2 3" xfId="190"/>
    <cellStyle name="Normal 2 5 2" xfId="191"/>
    <cellStyle name="20% - Accent1 2 2" xfId="192"/>
    <cellStyle name="40% - Accent1 2 2" xfId="193"/>
    <cellStyle name="20% - Accent2 2 2" xfId="194"/>
    <cellStyle name="40% - Accent2 2 2" xfId="195"/>
    <cellStyle name="20% - Accent3 2 2" xfId="196"/>
    <cellStyle name="40% - Accent3 2 2" xfId="197"/>
    <cellStyle name="20% - Accent4 2 2" xfId="198"/>
    <cellStyle name="40% - Accent4 2 2" xfId="199"/>
    <cellStyle name="20% - Accent5 2 2" xfId="200"/>
    <cellStyle name="40% - Accent5 2 2" xfId="201"/>
    <cellStyle name="20% - Accent6 2 2" xfId="202"/>
    <cellStyle name="40% - Accent6 2 2" xfId="203"/>
    <cellStyle name="Normal 3 3 2" xfId="204"/>
    <cellStyle name="Note 2 2 2" xfId="205"/>
    <cellStyle name="Normal 3 4 2" xfId="206"/>
    <cellStyle name="Normal 2 6 2" xfId="207"/>
    <cellStyle name="Normal 2 3 2 2" xfId="208"/>
    <cellStyle name="Percent 5" xfId="209"/>
    <cellStyle name="Normal 4 2" xfId="210"/>
    <cellStyle name="Note 3 2" xfId="211"/>
    <cellStyle name="20% - Accent1 3 2" xfId="212"/>
    <cellStyle name="40% - Accent1 3 2" xfId="213"/>
    <cellStyle name="20% - Accent2 3 2" xfId="214"/>
    <cellStyle name="40% - Accent2 3 2" xfId="215"/>
    <cellStyle name="20% - Accent3 3 2" xfId="216"/>
    <cellStyle name="40% - Accent3 3 2" xfId="217"/>
    <cellStyle name="20% - Accent4 3 2" xfId="218"/>
    <cellStyle name="40% - Accent4 3 2" xfId="219"/>
    <cellStyle name="20% - Accent5 3 2" xfId="220"/>
    <cellStyle name="40% - Accent5 3 2" xfId="221"/>
    <cellStyle name="20% - Accent6 3 2" xfId="222"/>
    <cellStyle name="40% - Accent6 3 2" xfId="223"/>
    <cellStyle name="Normal 5 2" xfId="224"/>
    <cellStyle name="Normal 6 2" xfId="225"/>
    <cellStyle name="Normal 7 2" xfId="226"/>
    <cellStyle name="Note 4 2" xfId="227"/>
    <cellStyle name="20% - Accent1 4 2" xfId="228"/>
    <cellStyle name="40% - Accent1 4 2" xfId="229"/>
    <cellStyle name="20% - Accent2 4 2" xfId="230"/>
    <cellStyle name="40% - Accent2 4 2" xfId="231"/>
    <cellStyle name="20% - Accent3 4 2" xfId="232"/>
    <cellStyle name="40% - Accent3 4 2" xfId="233"/>
    <cellStyle name="20% - Accent4 4 2" xfId="234"/>
    <cellStyle name="40% - Accent4 4 2" xfId="235"/>
    <cellStyle name="20% - Accent5 4 2" xfId="236"/>
    <cellStyle name="40% - Accent5 4 2" xfId="237"/>
    <cellStyle name="20% - Accent6 4 2" xfId="238"/>
    <cellStyle name="40% - Accent6 4 2" xfId="239"/>
    <cellStyle name="Normal 8 2" xfId="240"/>
    <cellStyle name="Note 5 2" xfId="241"/>
    <cellStyle name="20% - Accent1 5 2" xfId="242"/>
    <cellStyle name="40% - Accent1 5 2" xfId="243"/>
    <cellStyle name="20% - Accent2 5 2" xfId="244"/>
    <cellStyle name="40% - Accent2 5 2" xfId="245"/>
    <cellStyle name="20% - Accent3 5 2" xfId="246"/>
    <cellStyle name="40% - Accent3 5 2" xfId="247"/>
    <cellStyle name="20% - Accent4 5 2" xfId="248"/>
    <cellStyle name="40% - Accent4 5 2" xfId="249"/>
    <cellStyle name="20% - Accent5 5 2" xfId="250"/>
    <cellStyle name="40% - Accent5 5 2" xfId="251"/>
    <cellStyle name="20% - Accent6 5 2" xfId="252"/>
    <cellStyle name="40% - Accent6 5 2" xfId="253"/>
    <cellStyle name="Normal 9 2" xfId="254"/>
    <cellStyle name="Note 6 2" xfId="255"/>
    <cellStyle name="20% - Accent1 6 2" xfId="256"/>
    <cellStyle name="40% - Accent1 6 2" xfId="257"/>
    <cellStyle name="20% - Accent2 6 2" xfId="258"/>
    <cellStyle name="40% - Accent2 6 2" xfId="259"/>
    <cellStyle name="20% - Accent3 6 2" xfId="260"/>
    <cellStyle name="40% - Accent3 6 2" xfId="261"/>
    <cellStyle name="20% - Accent4 6 2" xfId="262"/>
    <cellStyle name="40% - Accent4 6 2" xfId="263"/>
    <cellStyle name="20% - Accent5 6 2" xfId="264"/>
    <cellStyle name="40% - Accent5 6 2" xfId="265"/>
    <cellStyle name="20% - Accent6 6 2" xfId="266"/>
    <cellStyle name="40% - Accent6 6 2" xfId="267"/>
    <cellStyle name="Normal 10 2" xfId="268"/>
    <cellStyle name="Note 7 2" xfId="269"/>
    <cellStyle name="20% - Accent1 7 2" xfId="270"/>
    <cellStyle name="40% - Accent1 7 2" xfId="271"/>
    <cellStyle name="20% - Accent2 7 2" xfId="272"/>
    <cellStyle name="40% - Accent2 7 2" xfId="273"/>
    <cellStyle name="20% - Accent3 7 2" xfId="274"/>
    <cellStyle name="40% - Accent3 7 2" xfId="275"/>
    <cellStyle name="20% - Accent4 7 2" xfId="276"/>
    <cellStyle name="40% - Accent4 7 2" xfId="277"/>
    <cellStyle name="20% - Accent5 7 2" xfId="278"/>
    <cellStyle name="40% - Accent5 7 2" xfId="279"/>
    <cellStyle name="20% - Accent6 7 2" xfId="280"/>
    <cellStyle name="40% - Accent6 7 2" xfId="281"/>
    <cellStyle name="Normal 11 2" xfId="282"/>
    <cellStyle name="Note 8 2" xfId="283"/>
    <cellStyle name="20% - Accent1 8 2" xfId="284"/>
    <cellStyle name="40% - Accent1 8 2" xfId="285"/>
    <cellStyle name="20% - Accent2 8 2" xfId="286"/>
    <cellStyle name="40% - Accent2 8 2" xfId="287"/>
    <cellStyle name="20% - Accent3 8 2" xfId="288"/>
    <cellStyle name="40% - Accent3 8 2" xfId="289"/>
    <cellStyle name="20% - Accent4 8 2" xfId="290"/>
    <cellStyle name="40% - Accent4 8 2" xfId="291"/>
    <cellStyle name="20% - Accent5 8 2" xfId="292"/>
    <cellStyle name="40% - Accent5 8 2" xfId="293"/>
    <cellStyle name="20% - Accent6 8 2" xfId="294"/>
    <cellStyle name="40% - Accent6 8 2" xfId="295"/>
    <cellStyle name="Normal 12 2" xfId="296"/>
    <cellStyle name="Note 9 2" xfId="297"/>
    <cellStyle name="20% - Accent1 9 2" xfId="298"/>
    <cellStyle name="40% - Accent1 9 2" xfId="299"/>
    <cellStyle name="20% - Accent2 9 2" xfId="300"/>
    <cellStyle name="40% - Accent2 9 2" xfId="301"/>
    <cellStyle name="20% - Accent3 9 2" xfId="302"/>
    <cellStyle name="40% - Accent3 9 2" xfId="303"/>
    <cellStyle name="20% - Accent4 9 2" xfId="304"/>
    <cellStyle name="40% - Accent4 9 2" xfId="305"/>
    <cellStyle name="20% - Accent5 9 2" xfId="306"/>
    <cellStyle name="40% - Accent5 9 2" xfId="307"/>
    <cellStyle name="20% - Accent6 9 2" xfId="308"/>
    <cellStyle name="40% - Accent6 9 2" xfId="309"/>
    <cellStyle name="Hyperlink" xfId="310" builtinId="8"/>
    <cellStyle name="Currency" xfId="311" builtinId="4"/>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externalLink" Target="/xl/externalLinks/externalLink1.xml" Id="rId26"/><Relationship Type="http://schemas.openxmlformats.org/officeDocument/2006/relationships/externalLink" Target="/xl/externalLinks/externalLink2.xml" Id="rId27"/><Relationship Type="http://schemas.openxmlformats.org/officeDocument/2006/relationships/styles" Target="styles.xml" Id="rId28"/><Relationship Type="http://schemas.openxmlformats.org/officeDocument/2006/relationships/theme" Target="theme/theme1.xml" Id="rId29"/><Relationship Type="http://schemas.microsoft.com/office/2006/relationships/vbaProject" Target="vbaProject.bin" Id="rId30"/></Relationships>
</file>

<file path=xl/charts/chart1.xml><?xml version="1.0" encoding="utf-8"?>
<chartSpace xmlns="http://schemas.openxmlformats.org/drawingml/2006/chart">
  <chart>
    <plotArea>
      <layout/>
      <barChart>
        <barDir val="bar"/>
        <grouping val="clustered"/>
        <varyColors val="0"/>
        <ser>
          <idx val="0"/>
          <order val="0"/>
          <spPr>
            <a:solidFill xmlns:a="http://schemas.openxmlformats.org/drawingml/2006/main">
              <a:srgbClr val="F79646"/>
            </a:solidFill>
            <a:ln xmlns:a="http://schemas.openxmlformats.org/drawingml/2006/main">
              <a:noFill/>
              <a:prstDash val="solid"/>
              <a:round/>
            </a:ln>
          </spPr>
          <invertIfNegative val="0"/>
          <dLbls>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800">
                    <a:solidFill>
                      <a:schemeClr val="tx1"/>
                    </a:solidFill>
                  </a:defRPr>
                </a:pPr>
                <a:r>
                  <a:t>None</a:t>
                </a:r>
                <a:endParaRPr lang="en-US"/>
              </a:p>
            </txPr>
            <dLblPos val="inEnd"/>
            <showLegendKey val="0"/>
            <showVal val="1"/>
            <showCatName val="0"/>
            <showSerName val="0"/>
            <showPercent val="0"/>
            <showBubbleSize val="0"/>
            <showLeaderLines val="0"/>
          </dLbls>
          <cat>
            <strRef>
              <f>'Figure 1'!$A$2:$A$3</f>
              <strCache>
                <ptCount val="2"/>
                <pt idx="0">
                  <v>22-30</v>
                </pt>
                <pt idx="1">
                  <v>30-50</v>
                </pt>
              </strCache>
            </strRef>
          </cat>
          <val>
            <numRef>
              <f>'Figure 1'!$B$2:$B$3</f>
              <numCache>
                <formatCode>0.0%</formatCode>
                <ptCount val="2"/>
                <pt idx="0">
                  <v>0.333333333</v>
                </pt>
                <pt idx="1">
                  <v>0.666666667</v>
                </pt>
              </numCache>
            </numRef>
          </val>
        </ser>
        <dLbls>
          <dLblPos val="outEnd"/>
          <showLegendKey val="0"/>
          <showVal val="1"/>
          <showCatName val="0"/>
          <showSerName val="0"/>
          <showPercent val="0"/>
          <showBubbleSize val="0"/>
        </dLbls>
        <gapWidth val="150"/>
        <axId val="120623872"/>
        <axId val="121052160"/>
      </barChart>
      <catAx>
        <axId val="120623872"/>
        <scaling>
          <orientation val="minMax"/>
        </scaling>
        <delete val="0"/>
        <axPos val="l"/>
        <title>
          <tx>
            <rich>
              <a:bodyPr xmlns:a="http://schemas.openxmlformats.org/drawingml/2006/main" rot="0" vert="horz"/>
              <a:lstStyle xmlns:a="http://schemas.openxmlformats.org/drawingml/2006/main"/>
              <a:p xmlns:a="http://schemas.openxmlformats.org/drawingml/2006/main">
                <a:pPr>
                  <a:defRPr/>
                </a:pPr>
                <a:r>
                  <a:rPr lang="en-US"/>
                  <a:t>Age</a:t>
                </a:r>
              </a:p>
            </rich>
          </tx>
          <overlay val="0"/>
        </title>
        <numFmt formatCode="General" sourceLinked="1"/>
        <majorTickMark val="out"/>
        <minorTickMark val="none"/>
        <tickLblPos val="nextTo"/>
        <txPr>
          <a:bodyPr xmlns:a="http://schemas.openxmlformats.org/drawingml/2006/main"/>
          <a:lstStyle xmlns:a="http://schemas.openxmlformats.org/drawingml/2006/main"/>
          <a:p xmlns:a="http://schemas.openxmlformats.org/drawingml/2006/main">
            <a:pPr>
              <a:defRPr sz="800">
                <a:solidFill>
                  <a:srgbClr val="FFFFFF"/>
                </a:solidFill>
              </a:defRPr>
            </a:pPr>
            <a:r>
              <a:t>None</a:t>
            </a:r>
            <a:endParaRPr lang="en-US"/>
          </a:p>
        </txPr>
        <crossAx val="121052160"/>
        <crosses val="autoZero"/>
        <auto val="0"/>
        <lblAlgn val="ctr"/>
        <lblOffset val="100"/>
        <noMultiLvlLbl val="0"/>
      </catAx>
      <valAx>
        <axId val="121052160"/>
        <scaling>
          <orientation val="minMax"/>
        </scaling>
        <delete val="0"/>
        <axPos val="b"/>
        <numFmt formatCode="0%" sourceLinked="0"/>
        <majorTickMark val="out"/>
        <minorTickMark val="none"/>
        <tickLblPos val="nextTo"/>
        <txPr>
          <a:bodyPr xmlns:a="http://schemas.openxmlformats.org/drawingml/2006/main"/>
          <a:lstStyle xmlns:a="http://schemas.openxmlformats.org/drawingml/2006/main"/>
          <a:p xmlns:a="http://schemas.openxmlformats.org/drawingml/2006/main">
            <a:pPr>
              <a:defRPr sz="800">
                <a:solidFill>
                  <a:srgbClr val="FFFFFF"/>
                </a:solidFill>
              </a:defRPr>
            </a:pPr>
            <a:r>
              <a:t>None</a:t>
            </a:r>
            <a:endParaRPr lang="en-US"/>
          </a:p>
        </txPr>
        <crossAx val="120623872"/>
        <crosses val="autoZero"/>
        <crossBetween val="between"/>
      </valAx>
    </plotArea>
    <plotVisOnly val="1"/>
    <dispBlanksAs val="gap"/>
  </chart>
  <spPr>
    <a:solidFill xmlns:a="http://schemas.openxmlformats.org/drawingml/2006/main">
      <a:schemeClr val="tx2">
        <a:lumMod val="100000"/>
      </a:schemeClr>
    </a:solidFill>
    <a:ln xmlns:a="http://schemas.openxmlformats.org/drawingml/2006/main">
      <a:noFill/>
      <a:prstDash val="solid"/>
    </a:ln>
  </spPr>
</chartSpace>
</file>

<file path=xl/charts/chart2.xml><?xml version="1.0" encoding="utf-8"?>
<chartSpace xmlns="http://schemas.openxmlformats.org/drawingml/2006/chart">
  <chart>
    <plotArea>
      <layout/>
      <barChart>
        <barDir val="bar"/>
        <grouping val="clustered"/>
        <varyColors val="0"/>
        <ser>
          <idx val="0"/>
          <order val="0"/>
          <spPr>
            <a:solidFill xmlns:a="http://schemas.openxmlformats.org/drawingml/2006/main">
              <a:srgbClr val="F79646"/>
            </a:solidFill>
            <a:ln xmlns:a="http://schemas.openxmlformats.org/drawingml/2006/main">
              <a:noFill/>
              <a:prstDash val="solid"/>
              <a:round/>
            </a:ln>
          </spPr>
          <invertIfNegative val="0"/>
          <dLbls>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800">
                    <a:solidFill>
                      <a:schemeClr val="tx1"/>
                    </a:solidFill>
                  </a:defRPr>
                </a:pPr>
                <a:r>
                  <a:t>None</a:t>
                </a:r>
                <a:endParaRPr lang="en-US"/>
              </a:p>
            </txPr>
            <dLblPos val="inEnd"/>
            <showLegendKey val="0"/>
            <showVal val="1"/>
            <showCatName val="0"/>
            <showSerName val="0"/>
            <showPercent val="0"/>
            <showBubbleSize val="0"/>
            <showLeaderLines val="0"/>
          </dLbls>
          <cat>
            <strRef>
              <f>'Figure 2'!$A$2:$A$3</f>
              <strCache>
                <ptCount val="2"/>
                <pt idx="0">
                  <v>Male</v>
                </pt>
                <pt idx="1">
                  <v>Female</v>
                </pt>
              </strCache>
            </strRef>
          </cat>
          <val>
            <numRef>
              <f>'Figure 2'!$B$2:$B$3</f>
              <numCache>
                <formatCode>0.0%</formatCode>
                <ptCount val="2"/>
                <pt idx="0">
                  <v>0</v>
                </pt>
                <pt idx="1">
                  <v>1</v>
                </pt>
              </numCache>
            </numRef>
          </val>
        </ser>
        <dLbls>
          <dLblPos val="outEnd"/>
          <showLegendKey val="0"/>
          <showVal val="1"/>
          <showCatName val="0"/>
          <showSerName val="0"/>
          <showPercent val="0"/>
          <showBubbleSize val="0"/>
        </dLbls>
        <gapWidth val="150"/>
        <axId val="121054720"/>
        <axId val="122311040"/>
      </barChart>
      <catAx>
        <axId val="121054720"/>
        <scaling>
          <orientation val="minMax"/>
        </scaling>
        <delete val="0"/>
        <axPos val="l"/>
        <numFmt formatCode="General" sourceLinked="1"/>
        <majorTickMark val="out"/>
        <minorTickMark val="none"/>
        <tickLblPos val="nextTo"/>
        <txPr>
          <a:bodyPr xmlns:a="http://schemas.openxmlformats.org/drawingml/2006/main"/>
          <a:lstStyle xmlns:a="http://schemas.openxmlformats.org/drawingml/2006/main"/>
          <a:p xmlns:a="http://schemas.openxmlformats.org/drawingml/2006/main">
            <a:pPr>
              <a:defRPr sz="800">
                <a:solidFill>
                  <a:srgbClr val="FFFFFF"/>
                </a:solidFill>
              </a:defRPr>
            </a:pPr>
            <a:r>
              <a:t>None</a:t>
            </a:r>
            <a:endParaRPr lang="en-US"/>
          </a:p>
        </txPr>
        <crossAx val="122311040"/>
        <crosses val="autoZero"/>
        <auto val="0"/>
        <lblAlgn val="ctr"/>
        <lblOffset val="100"/>
        <noMultiLvlLbl val="0"/>
      </catAx>
      <valAx>
        <axId val="122311040"/>
        <scaling>
          <orientation val="minMax"/>
        </scaling>
        <delete val="0"/>
        <axPos val="b"/>
        <numFmt formatCode="0%" sourceLinked="0"/>
        <majorTickMark val="out"/>
        <minorTickMark val="none"/>
        <tickLblPos val="nextTo"/>
        <txPr>
          <a:bodyPr xmlns:a="http://schemas.openxmlformats.org/drawingml/2006/main"/>
          <a:lstStyle xmlns:a="http://schemas.openxmlformats.org/drawingml/2006/main"/>
          <a:p xmlns:a="http://schemas.openxmlformats.org/drawingml/2006/main">
            <a:pPr>
              <a:defRPr sz="800">
                <a:solidFill>
                  <a:srgbClr val="FFFFFF"/>
                </a:solidFill>
              </a:defRPr>
            </a:pPr>
            <a:r>
              <a:t>None</a:t>
            </a:r>
            <a:endParaRPr lang="en-US"/>
          </a:p>
        </txPr>
        <crossAx val="121054720"/>
        <crosses val="autoZero"/>
        <crossBetween val="between"/>
      </valAx>
    </plotArea>
    <plotVisOnly val="1"/>
    <dispBlanksAs val="gap"/>
  </chart>
  <spPr>
    <a:solidFill xmlns:a="http://schemas.openxmlformats.org/drawingml/2006/main">
      <a:schemeClr val="tx2">
        <a:lumMod val="100000"/>
      </a:schemeClr>
    </a:solidFill>
    <a:ln xmlns:a="http://schemas.openxmlformats.org/drawingml/2006/main">
      <a:prstDash val="solid"/>
    </a:ln>
  </spPr>
</chartSpace>
</file>

<file path=xl/comments/comment1.xml><?xml version="1.0" encoding="utf-8"?>
<comments xmlns="http://schemas.openxmlformats.org/spreadsheetml/2006/main">
  <authors>
    <author>Simonson, Brian</author>
    <author>brian simonson</author>
  </authors>
  <commentList>
    <comment ref="A5" authorId="0" shapeId="0">
      <text>
        <t>Simonson, Brian:
Template document name must end in "_Template".  All reports will be label by name of report preceding "_Template", plus the current report ID.</t>
      </text>
    </comment>
    <comment ref="A15" authorId="0" shapeId="0">
      <text>
        <t>Simonson, Brian:
Do not turn on ulness the report has "cutsection" tags created</t>
      </text>
    </comment>
    <comment ref="A25" authorId="0" shapeId="0">
      <text>
        <t>Simonson, Brian:
Do not turn on unless the report has a table of contents.</t>
      </text>
    </comment>
    <comment ref="A27" authorId="1" shapeId="0">
      <text>
        <t>brian simonson:
Final suffix for report names</t>
      </text>
    </comment>
    <comment ref="A29" authorId="1" shapeId="0">
      <text>
        <t>Click to go to options for Massive Table Maker</t>
      </text>
    </comment>
    <comment ref="A31" authorId="1" shapeId="0">
      <text>
        <t>brian simonson:
If populated, TRW will substitute the current report ID for the unique identifier for each of the tables within the "index_altered" tab.  For example if the unique identifier is "xxyyzz", then the filename should be, e.g., Table1_xxyyzz.csv.  Thus, when running report to company A, there should be afile named Table1_A.csv. IMPORTANT:  The "index_altered worksheet must be manually constructed, typically by modifying column A in the "index" tab.
If this field is left blank, then the "index" worksheet will be referenced.  this indicate that this is not a report that requires looping through a list.</t>
      </text>
    </comment>
  </commentList>
</comments>
</file>

<file path=xl/comments/comment2.xml><?xml version="1.0" encoding="utf-8"?>
<comments xmlns="http://schemas.openxmlformats.org/spreadsheetml/2006/main">
  <authors>
    <author>Simonson, Brian</author>
  </authors>
  <commentList>
    <comment ref="E3" authorId="0" shapeId="0">
      <text>
        <t>Simonson, Brian:
This is an informativ field.  Not required.</t>
      </text>
    </comment>
    <comment ref="H3" authorId="0" shapeId="0">
      <text>
        <t>Simonson, Brian:
Files read in for files with 150 rows or less is powered by a lightweight, powerful file reader.  Files over this threshold deafault to a slower file reading procedure.</t>
      </text>
    </comment>
    <comment ref="J3" authorId="0" shapeId="0">
      <text>
        <t>Simonson, Brian:
Assumes the first worksheet is the worksheet of interest.</t>
      </text>
    </comment>
  </commentList>
</comments>
</file>

<file path=xl/comments/comment3.xml><?xml version="1.0" encoding="utf-8"?>
<comments xmlns="http://schemas.openxmlformats.org/spreadsheetml/2006/main">
  <authors>
    <author>Simonson, Brian</author>
    <author>brian simonson</author>
  </authors>
  <commentList>
    <comment ref="L1" authorId="0" shapeId="0">
      <text>
        <t xml:space="preserve">Simonson, Brian:
Automatic alt-text assumes simple one dimension bar or pie chart, with categories on far left column (A) and the reported statistics in the second column.  Also assumes the dimension titles are in the in the first row.
To override list the cell that would include the full alt-text.  Still requires data begings in row 2 of the sheet.
</t>
      </text>
    </comment>
    <comment ref="S1" authorId="1" shapeId="0">
      <text>
        <t>brian simonson:
Only used if "fit to window" is FALSE.  FALSE forces Left Aligned.</t>
      </text>
    </comment>
    <comment ref="T1" authorId="1" shapeId="0">
      <text>
        <t>brian simonson:
word table template set to true will ignore "fit to window, "center".  Column U (ultimate table type) is then required.</t>
      </text>
    </comment>
    <comment ref="V1" authorId="1" shapeId="0">
      <text>
        <t xml:space="preserve">brian simonson:
Not necessary for Fixed 
Row and Variable Row Ultimate Tables if headers decalred in the template table within Word template
</t>
      </text>
    </comment>
    <comment ref="Y1" authorId="1" shapeId="0">
      <text>
        <t xml:space="preserve">brian simonson:
Only for Word Table Template = FALSE (i.e. copy/pasted)
</t>
      </text>
    </comment>
  </commentList>
</comments>
</file>

<file path=xl/comments/comment4.xml><?xml version="1.0" encoding="utf-8"?>
<comments xmlns="http://schemas.openxmlformats.org/spreadsheetml/2006/main">
  <authors>
    <author>brian simonson</author>
  </authors>
  <commentList>
    <comment ref="C3" authorId="0" shapeId="0">
      <text>
        <t>brian simonson:
This designates number of colums for use in the alt-text functionality of tables. Note this might cunfuse the construction of the table range.
Hopefully automate this detection in future revisions.</t>
      </text>
    </comment>
    <comment ref="C10" authorId="0" shapeId="0">
      <text>
        <t>brian simonson:
Note 3 columns becaue of merged rows.  Required for marking header rows.</t>
      </text>
    </comment>
  </commentList>
</comments>
</file>

<file path=xl/comments/comment5.xml><?xml version="1.0" encoding="utf-8"?>
<comments xmlns="http://schemas.openxmlformats.org/spreadsheetml/2006/main">
  <authors>
    <author>brian simonson</author>
  </authors>
  <commentList>
    <comment ref="A1" authorId="0" shapeId="0">
      <text>
        <t>brian simonson:
Column formatted as text.  Hence numbers should be typed out as they would appear in document.  Typical application is putting dummy number like 99,999.0% which gets transfomed to N/A using this tab.</t>
      </text>
    </comment>
  </commentList>
</comments>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drawing1.xml><?xml version="1.0" encoding="utf-8"?>
<wsDr xmlns="http://schemas.openxmlformats.org/drawingml/2006/spreadsheetDrawing">
  <twoCellAnchor>
    <from>
      <col>6</col>
      <colOff>600075</colOff>
      <row>2</row>
      <rowOff>9525</rowOff>
    </from>
    <to>
      <col>14</col>
      <colOff>400050</colOff>
      <row>20</row>
      <rowOff>9524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504825</colOff>
      <row>3</row>
      <rowOff>123825</rowOff>
    </from>
    <to>
      <col>15</col>
      <colOff>304800</colOff>
      <row>21</row>
      <rowOff>152399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file:///D:\Report%20Writer%20Beta%201.1\RW%201.1.xlsm" TargetMode="External" Id="rId1"/></Relationships>
</file>

<file path=xl/externalLinks/_rels/externalLink2.xml.rels><Relationships xmlns="http://schemas.openxmlformats.org/package/2006/relationships"><Relationship Type="http://schemas.openxmlformats.org/officeDocument/2006/relationships/externalLinkPath" Target="file:///S:\Project\PERM\4808.04\Statistical%20Calculations\Reporting%20and%20Estimation\FY2015\Random%20Tasks\Rebecca%20Folder\MCCM%20Report%20Writer%20V2.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Current Parameters"/>
      <sheetName val="FigureDataImport"/>
      <sheetName val="Report Numbers"/>
      <sheetName val="Report Loop List"/>
      <sheetName val="ChartRanges"/>
      <sheetName val="Table 1"/>
      <sheetName val="Figure 1"/>
      <sheetName val="Figure 2"/>
      <sheetName val="Bullet 1"/>
      <sheetName val="Header and Footer"/>
      <sheetName val="Header"/>
      <sheetName val="SmartSections"/>
      <sheetName val="Summary Sheet"/>
      <sheetName val="D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A</v>
          </cell>
          <cell r="B2">
            <v>30</v>
          </cell>
          <cell r="C2">
            <v>17</v>
          </cell>
          <cell r="D2">
            <v>13</v>
          </cell>
        </row>
        <row r="3">
          <cell r="A3" t="str">
            <v>B</v>
          </cell>
          <cell r="B3">
            <v>3</v>
          </cell>
          <cell r="C3">
            <v>0</v>
          </cell>
          <cell r="D3">
            <v>3</v>
          </cell>
        </row>
      </sheetData>
      <sheetData sheetId="13"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urrent Parameters"/>
      <sheetName val="FigureDataImport"/>
      <sheetName val="Report Numbers"/>
      <sheetName val="Report Loop List"/>
      <sheetName val="ChartRanges"/>
      <sheetName val="Totals"/>
      <sheetName val="Mult_Diag"/>
      <sheetName val="Age_Range"/>
      <sheetName val="Enroll"/>
      <sheetName val="Enroll (2)"/>
      <sheetName val="Discharge"/>
      <sheetName val="Age"/>
      <sheetName val="Gender"/>
      <sheetName val="Race"/>
      <sheetName val="Race_sorted"/>
      <sheetName val="Diagnosis"/>
      <sheetName val="Diagnosis_Sorted"/>
      <sheetName val="Func_status"/>
      <sheetName val="Dual_Elig"/>
      <sheetName val="P_Staff"/>
      <sheetName val="V_Staff"/>
      <sheetName val="V_staff_sorted"/>
      <sheetName val="P_Service"/>
      <sheetName val="V_Service"/>
      <sheetName val="V_service_sorted"/>
      <sheetName val="V_Location"/>
      <sheetName val="V_Location_sorted"/>
      <sheetName val="P_Delivery"/>
      <sheetName val="V_Delivery"/>
      <sheetName val="V_Delivery_sorted"/>
      <sheetName val="P_Treat_Admit"/>
      <sheetName val="P_Treat_Mod"/>
      <sheetName val="P_Treat_Follow"/>
      <sheetName val="V_Treat_Follow"/>
      <sheetName val="P_Adv_Care"/>
      <sheetName val="P_Adv_Care_Admit"/>
      <sheetName val="P_Spiritual"/>
      <sheetName val="P_Spirit_Admit"/>
      <sheetName val="V_IP_Transmit"/>
      <sheetName val="V_Med_Rec_Change"/>
      <sheetName val="P_Med_Rec_Admit"/>
      <sheetName val="V_Med_Rec_Post_IP"/>
      <sheetName val="V_Pain_Assess"/>
      <sheetName val="P_Pain_Admit"/>
      <sheetName val="V_Pain_Comf"/>
      <sheetName val="P_Bowel_Init"/>
      <sheetName val="V_Bowel_Init"/>
      <sheetName val="P_Bowel_Mod"/>
      <sheetName val="V_Bowel_Mod"/>
      <sheetName val="V_Dysp_Treat"/>
      <sheetName val="P_Dysp_Admit"/>
      <sheetName val="V_Dep_Follow"/>
      <sheetName val="P_Dep_Admit"/>
      <sheetName val="V_Dep_Reassess"/>
      <sheetName val="Hosp_Vis"/>
      <sheetName val="P_Hosp_MCCM"/>
      <sheetName val="V_Hosp_MCCM"/>
      <sheetName val="ED_Vis"/>
      <sheetName val="HH_Vis"/>
      <sheetName val="IP_Rehab_Vis"/>
      <sheetName val="SNF_Vis"/>
      <sheetName val="Actively_Enrolled"/>
      <sheetName val="S_A_log"/>
      <sheetName val="Table 1"/>
      <sheetName val="FFS MR TopX"/>
      <sheetName val="Sheet1"/>
      <sheetName val="index_test"/>
      <sheetName val="Bullet 1"/>
      <sheetName val="Header and Footer"/>
      <sheetName val="SmartSections"/>
      <sheetName val="Summary Sheet"/>
      <sheetName val="Add Docx"/>
      <sheetName val="D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ow r="1">
          <cell r="A1" t="str">
            <v>Section</v>
          </cell>
          <cell r="B1" t="str">
            <v>Include</v>
          </cell>
        </row>
        <row r="2">
          <cell r="A2">
            <v>1</v>
          </cell>
          <cell r="B2">
            <v>1</v>
          </cell>
        </row>
        <row r="3">
          <cell r="A3">
            <v>2</v>
          </cell>
          <cell r="B3">
            <v>0</v>
          </cell>
        </row>
        <row r="4">
          <cell r="A4">
            <v>3</v>
          </cell>
          <cell r="B4">
            <v>1</v>
          </cell>
        </row>
        <row r="5">
          <cell r="A5">
            <v>4</v>
          </cell>
          <cell r="B5">
            <v>1</v>
          </cell>
        </row>
        <row r="6">
          <cell r="A6">
            <v>5</v>
          </cell>
          <cell r="B6">
            <v>0</v>
          </cell>
        </row>
        <row r="7">
          <cell r="A7">
            <v>6</v>
          </cell>
          <cell r="B7">
            <v>0</v>
          </cell>
        </row>
        <row r="8">
          <cell r="A8">
            <v>7</v>
          </cell>
          <cell r="B8">
            <v>1</v>
          </cell>
        </row>
        <row r="9">
          <cell r="A9">
            <v>8</v>
          </cell>
          <cell r="B9">
            <v>1</v>
          </cell>
        </row>
        <row r="10">
          <cell r="A10">
            <v>9</v>
          </cell>
          <cell r="B10">
            <v>0</v>
          </cell>
        </row>
        <row r="11">
          <cell r="A11">
            <v>10</v>
          </cell>
          <cell r="B11">
            <v>0</v>
          </cell>
        </row>
        <row r="12">
          <cell r="A12">
            <v>11</v>
          </cell>
          <cell r="B12">
            <v>0</v>
          </cell>
        </row>
        <row r="69">
          <cell r="A69">
            <v>0</v>
          </cell>
          <cell r="B69">
            <v>0</v>
          </cell>
        </row>
        <row r="104">
          <cell r="A104">
            <v>99</v>
          </cell>
          <cell r="B104">
            <v>1</v>
          </cell>
        </row>
      </sheetData>
      <sheetData sheetId="70"/>
      <sheetData sheetId="71"/>
      <sheetData sheetId="7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10.xml.rels><Relationships xmlns="http://schemas.openxmlformats.org/package/2006/relationships"><Relationship Type="http://schemas.openxmlformats.org/officeDocument/2006/relationships/drawing" Target="/xl/drawings/drawing1.xml" Id="rId1"/></Relationships>
</file>

<file path=xl/worksheets/_rels/sheet11.xml.rels><Relationships xmlns="http://schemas.openxmlformats.org/package/2006/relationships"><Relationship Type="http://schemas.openxmlformats.org/officeDocument/2006/relationships/drawing" Target="/xl/drawings/drawing2.xml" Id="rId1"/></Relationships>
</file>

<file path=xl/worksheets/_rels/sheet21.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sheet1.xml><?xml version="1.0" encoding="utf-8"?>
<worksheet xmlns="http://schemas.openxmlformats.org/spreadsheetml/2006/main">
  <sheetPr codeName="Sheet11">
    <outlinePr summaryBelow="1" summaryRight="1"/>
    <pageSetUpPr/>
  </sheetPr>
  <dimension ref="B2:C20"/>
  <sheetViews>
    <sheetView topLeftCell="A2" workbookViewId="0">
      <selection activeCell="A21" sqref="A21:XFD21"/>
    </sheetView>
  </sheetViews>
  <sheetFormatPr baseColWidth="8" defaultRowHeight="12.3"/>
  <cols>
    <col width="8.88671875" customWidth="1" style="119" min="1" max="1"/>
    <col width="18.44140625" customWidth="1" style="119" min="2" max="2"/>
    <col width="8.88671875" customWidth="1" style="119" min="3" max="16384"/>
  </cols>
  <sheetData>
    <row r="2" ht="22.5" customHeight="1">
      <c r="B2" s="118" t="inlineStr">
        <is>
          <t>The Report Writer</t>
        </is>
      </c>
    </row>
    <row r="4">
      <c r="B4" s="120" t="inlineStr">
        <is>
          <t xml:space="preserve">Welcome to The Report Writer, an a tool designed to produce professinal, 508 compliant reports leveraging the applications that one </t>
        </is>
      </c>
    </row>
    <row r="5">
      <c r="B5" s="120" t="inlineStr">
        <is>
          <t>naturally uses for report production: Excel and Word.  The Report Writer assists in importing results produced from other analytical</t>
        </is>
      </c>
    </row>
    <row r="6">
      <c r="B6" s="120" t="inlineStr">
        <is>
          <t>platforms, then allows the user to leverage Excel ability to produce report quality tables and charts.</t>
        </is>
      </c>
    </row>
    <row r="8">
      <c r="B8" s="121" t="inlineStr">
        <is>
          <t>The basics of the worksheets in this application:</t>
        </is>
      </c>
    </row>
    <row r="10">
      <c r="B10" s="122" t="inlineStr">
        <is>
          <t>Current Parameters</t>
        </is>
      </c>
      <c r="C10" s="120" t="inlineStr">
        <is>
          <t>The  steering wheel of the application.  Specifiy report templates, reporting options, etc.</t>
        </is>
      </c>
    </row>
    <row r="11">
      <c r="B11" s="122" t="inlineStr">
        <is>
          <t>FIgureDataImport</t>
        </is>
      </c>
      <c r="C11" s="120" t="inlineStr">
        <is>
          <t>A tool to assist with importing  results files into worksheets</t>
        </is>
      </c>
    </row>
    <row r="12">
      <c r="B12" s="122" t="inlineStr">
        <is>
          <t>Report Numbers</t>
        </is>
      </c>
      <c r="C12" s="120" t="inlineStr">
        <is>
          <t>A listing of all numbers, tables, and charts in the report, and their properties</t>
        </is>
      </c>
    </row>
    <row r="13">
      <c r="B13" s="122" t="inlineStr">
        <is>
          <t>Report Loop List</t>
        </is>
      </c>
      <c r="C13" s="120" t="inlineStr">
        <is>
          <t>A list of all reports to be ran (e.g. a list of states, hospitals, etc.)</t>
        </is>
      </c>
    </row>
    <row r="14">
      <c r="B14" s="122" t="inlineStr">
        <is>
          <t>Chart Ranges</t>
        </is>
      </c>
      <c r="C14" s="120" t="inlineStr">
        <is>
          <t>A list of the dimensions of the different tables and charts.</t>
        </is>
      </c>
    </row>
    <row r="15">
      <c r="B15" s="122" t="inlineStr">
        <is>
          <t>Table 1</t>
        </is>
      </c>
      <c r="C15" s="120" t="inlineStr">
        <is>
          <t>Example of table set up</t>
        </is>
      </c>
    </row>
    <row r="16">
      <c r="B16" s="122" t="inlineStr">
        <is>
          <t>Figure 1</t>
        </is>
      </c>
      <c r="C16" s="120" t="inlineStr">
        <is>
          <t>Example of figure set up</t>
        </is>
      </c>
    </row>
    <row r="17">
      <c r="B17" s="122" t="inlineStr">
        <is>
          <t>Bullet 1</t>
        </is>
      </c>
      <c r="C17" s="120" t="inlineStr">
        <is>
          <t>Example of bullet creation</t>
        </is>
      </c>
    </row>
    <row r="18">
      <c r="B18" s="122" t="inlineStr">
        <is>
          <t>Header and Footer</t>
        </is>
      </c>
      <c r="C18" s="120" t="inlineStr">
        <is>
          <t>Listing of headers and footers for up to 5 sections of a report</t>
        </is>
      </c>
    </row>
    <row r="19">
      <c r="B19" s="122" t="inlineStr">
        <is>
          <t>SmartSections</t>
        </is>
      </c>
      <c r="C19" s="120" t="inlineStr">
        <is>
          <t>A tracker of section to be cut from the report dynamically</t>
        </is>
      </c>
    </row>
    <row r="20">
      <c r="B20" s="122" t="inlineStr">
        <is>
          <t>Summary Sheet</t>
        </is>
      </c>
      <c r="C20" s="120" t="inlineStr">
        <is>
          <t>Statistics that help determine when a section is cut</t>
        </is>
      </c>
    </row>
  </sheetData>
  <pageMargins left="0.7" right="0.7" top="0.75" bottom="0.75" header="0.3" footer="0.3"/>
  <pageSetup orientation="portrait"/>
</worksheet>
</file>

<file path=xl/worksheets/sheet2.xml><?xml version="1.0" encoding="utf-8"?>
<worksheet xmlns="http://schemas.openxmlformats.org/spreadsheetml/2006/main">
  <sheetPr codeName="Sheet36">
    <outlinePr summaryBelow="1" summaryRight="1"/>
    <pageSetUpPr/>
  </sheetPr>
  <dimension ref="A1:P86"/>
  <sheetViews>
    <sheetView tabSelected="1" workbookViewId="0">
      <selection activeCell="A3" sqref="A3"/>
    </sheetView>
  </sheetViews>
  <sheetFormatPr baseColWidth="8" defaultColWidth="9.1640625" defaultRowHeight="14.1"/>
  <cols>
    <col width="37.27734375" customWidth="1" style="7" min="1" max="1"/>
    <col width="9.44140625" bestFit="1" customWidth="1" style="7" min="2" max="2"/>
    <col width="9.1640625" customWidth="1" style="7" min="3" max="3"/>
    <col width="10.83203125" bestFit="1" customWidth="1" style="7" min="4" max="4"/>
    <col width="9.1640625" customWidth="1" style="7" min="5" max="5"/>
    <col width="10" bestFit="1" customWidth="1" style="7" min="6" max="6"/>
    <col width="9.1640625" customWidth="1" style="7" min="7" max="16384"/>
  </cols>
  <sheetData>
    <row r="1" ht="15" customHeight="1">
      <c r="A1" s="159" t="inlineStr">
        <is>
          <t>Report Template Path</t>
        </is>
      </c>
    </row>
    <row r="2" ht="15.3" customHeight="1">
      <c r="A2" s="160" t="inlineStr">
        <is>
          <t>C:\Users\brian\OneDrive\Documents\The Report Writer Package 02242020\The Report Writer Package 02242020\Report Writer Template</t>
        </is>
      </c>
    </row>
    <row r="3" ht="15.3" customHeight="1">
      <c r="A3" s="70" t="n"/>
    </row>
    <row r="4" ht="15" customHeight="1">
      <c r="A4" s="159" t="inlineStr">
        <is>
          <t>Report File</t>
        </is>
      </c>
    </row>
    <row r="5" ht="15.3" customHeight="1">
      <c r="A5" s="160" t="inlineStr">
        <is>
          <t>Demo Project 1_Template.docx</t>
        </is>
      </c>
    </row>
    <row r="7" ht="15" customHeight="1">
      <c r="A7" s="159" t="inlineStr">
        <is>
          <t>Final Report Destination</t>
        </is>
      </c>
    </row>
    <row r="8" ht="15.3" customHeight="1">
      <c r="A8" s="160">
        <f> A2 &amp; "\Final Reports"</f>
        <v/>
      </c>
    </row>
    <row r="9" ht="15.3" customHeight="1">
      <c r="A9" s="70" t="n"/>
    </row>
    <row r="10" ht="15" customHeight="1">
      <c r="A10" s="159" t="inlineStr">
        <is>
          <t>Current Report ID</t>
        </is>
      </c>
    </row>
    <row r="11" ht="15.3" customHeight="1">
      <c r="A11" s="160" t="inlineStr">
        <is>
          <t>B</t>
        </is>
      </c>
    </row>
    <row r="12" ht="15.3" customHeight="1">
      <c r="A12" s="70" t="n"/>
    </row>
    <row r="13" ht="15" customHeight="1">
      <c r="A13" s="71" t="inlineStr">
        <is>
          <t>Options Control Center</t>
        </is>
      </c>
    </row>
    <row r="14" ht="15.3" customHeight="1">
      <c r="A14" s="70" t="n"/>
    </row>
    <row r="15" ht="15.3" customHeight="1">
      <c r="A15" s="73" t="inlineStr">
        <is>
          <t>Smart Sections</t>
        </is>
      </c>
      <c r="B15" s="72" t="inlineStr">
        <is>
          <t>On</t>
        </is>
      </c>
    </row>
    <row r="16" ht="15.3" customHeight="1">
      <c r="A16" s="70" t="n"/>
    </row>
    <row r="17">
      <c r="A17" s="72" t="inlineStr">
        <is>
          <t>Headers and Footers</t>
        </is>
      </c>
      <c r="B17" s="72" t="inlineStr">
        <is>
          <t>On</t>
        </is>
      </c>
    </row>
    <row r="19">
      <c r="A19" s="72" t="inlineStr">
        <is>
          <t>Auto-Import Data Files</t>
        </is>
      </c>
      <c r="B19" s="72" t="inlineStr">
        <is>
          <t>On</t>
        </is>
      </c>
      <c r="C19" s="104" t="n"/>
    </row>
    <row r="21">
      <c r="A21" s="72" t="inlineStr">
        <is>
          <t>508 Compliant Charts</t>
        </is>
      </c>
      <c r="B21" s="72" t="inlineStr">
        <is>
          <t>On</t>
        </is>
      </c>
    </row>
    <row r="23">
      <c r="A23" s="72" t="inlineStr">
        <is>
          <t>Report Format</t>
        </is>
      </c>
      <c r="B23" s="158" t="inlineStr">
        <is>
          <t>Word (*.docx)</t>
        </is>
      </c>
    </row>
    <row r="25">
      <c r="A25" s="72" t="inlineStr">
        <is>
          <t>Table of Contents Update</t>
        </is>
      </c>
      <c r="B25" s="72" t="inlineStr">
        <is>
          <t>On</t>
        </is>
      </c>
    </row>
    <row r="27" ht="14.25" customHeight="1">
      <c r="A27" s="72" t="inlineStr">
        <is>
          <t>Report Title Suffix</t>
        </is>
      </c>
      <c r="B27" s="173" t="n"/>
      <c r="C27" s="174" t="n"/>
      <c r="D27" s="175" t="n"/>
    </row>
    <row r="29">
      <c r="A29" s="147" t="inlineStr">
        <is>
          <t>Massive Table Maker</t>
        </is>
      </c>
      <c r="B29" s="72" t="inlineStr">
        <is>
          <t>On</t>
        </is>
      </c>
    </row>
    <row r="31">
      <c r="A31" s="72" t="inlineStr">
        <is>
          <t>Massive Table Maker Unique Identifier</t>
        </is>
      </c>
      <c r="B31" s="72" t="inlineStr">
        <is>
          <t>xxyyzz</t>
        </is>
      </c>
    </row>
    <row r="33">
      <c r="A33" s="72" t="inlineStr">
        <is>
          <t>User Defined Macros</t>
        </is>
      </c>
      <c r="B33" s="72" t="inlineStr">
        <is>
          <t>On</t>
        </is>
      </c>
    </row>
    <row r="35">
      <c r="A35" s="72" t="inlineStr">
        <is>
          <t>Demo Mode</t>
        </is>
      </c>
      <c r="B35" s="72" t="inlineStr">
        <is>
          <t>Off</t>
        </is>
      </c>
    </row>
    <row r="37">
      <c r="A37" s="72" t="inlineStr">
        <is>
          <t>Global Replace</t>
        </is>
      </c>
      <c r="B37" s="72" t="inlineStr">
        <is>
          <t>On</t>
        </is>
      </c>
    </row>
    <row r="76">
      <c r="P76" s="7" t="inlineStr">
        <is>
          <t>On</t>
        </is>
      </c>
    </row>
    <row r="77">
      <c r="P77" s="7" t="inlineStr">
        <is>
          <t>Off</t>
        </is>
      </c>
    </row>
    <row r="79">
      <c r="P79" s="7" t="inlineStr">
        <is>
          <t>Word (*.docx)</t>
        </is>
      </c>
    </row>
    <row r="80">
      <c r="P80" s="7" t="inlineStr">
        <is>
          <t>97-2003 Word (*.doc)</t>
        </is>
      </c>
    </row>
    <row r="81">
      <c r="P81" s="7" t="inlineStr">
        <is>
          <t>PDF (*.pdf)</t>
        </is>
      </c>
    </row>
    <row r="85">
      <c r="P85" s="7" t="inlineStr">
        <is>
          <t>Same folder as Hub file</t>
        </is>
      </c>
    </row>
    <row r="86">
      <c r="P86" s="7" t="inlineStr">
        <is>
          <t>Different folder compared to Hub file</t>
        </is>
      </c>
    </row>
  </sheetData>
  <mergeCells count="10">
    <mergeCell ref="A4:H4"/>
    <mergeCell ref="A5:H5"/>
    <mergeCell ref="A7:H7"/>
    <mergeCell ref="A2:H2"/>
    <mergeCell ref="A10:H10"/>
    <mergeCell ref="B23:C23"/>
    <mergeCell ref="B27:D27"/>
    <mergeCell ref="A11:H11"/>
    <mergeCell ref="A1:H1"/>
    <mergeCell ref="A8:H8"/>
  </mergeCells>
  <dataValidations count="2">
    <dataValidation sqref="B15 B17 B19 B21 B25 B29 B33 B35 B37" showDropDown="0" showInputMessage="1" showErrorMessage="1" allowBlank="1" type="list">
      <formula1>$P$76:$P$77</formula1>
    </dataValidation>
    <dataValidation sqref="B23" showDropDown="0" showInputMessage="1" showErrorMessage="1" allowBlank="1" type="list">
      <formula1>$P$79:$P$81</formula1>
    </dataValidation>
  </dataValidations>
  <hyperlinks>
    <hyperlink ref="A29" location="'Massive Table Maker'!A1" display="Massive Table Maker"/>
  </hyperlink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1">
    <outlinePr summaryBelow="1" summaryRight="1"/>
    <pageSetUpPr/>
  </sheetPr>
  <dimension ref="A1:L36"/>
  <sheetViews>
    <sheetView topLeftCell="B1" zoomScaleNormal="100" workbookViewId="0">
      <selection activeCell="M18" sqref="M18"/>
    </sheetView>
  </sheetViews>
  <sheetFormatPr baseColWidth="8" defaultColWidth="9.1640625" defaultRowHeight="14.1"/>
  <cols>
    <col width="25.44140625" customWidth="1" style="36" min="1" max="1"/>
    <col width="9.1640625" customWidth="1" style="36" min="2" max="4"/>
    <col width="16.44140625" bestFit="1" customWidth="1" style="36" min="5" max="6"/>
    <col width="12.44140625" customWidth="1" style="36" min="7" max="7"/>
    <col width="9.44140625" customWidth="1" style="36" min="8" max="9"/>
    <col width="24.44140625" customWidth="1" style="36" min="10" max="10"/>
    <col width="9.1640625" customWidth="1" style="36" min="11" max="11"/>
    <col width="8.71875" bestFit="1" customWidth="1" style="36" min="12" max="12"/>
    <col width="9.1640625" customWidth="1" style="36" min="13" max="16384"/>
  </cols>
  <sheetData>
    <row r="1" ht="28.5" customHeight="1">
      <c r="A1" s="71" t="inlineStr">
        <is>
          <t>Figure/Table Results Path (Requires all results in same folder)</t>
        </is>
      </c>
    </row>
    <row r="2" ht="29.25" customHeight="1">
      <c r="A2" s="161">
        <f>'Current Parameters'!A2 &amp; "\Results"</f>
        <v/>
      </c>
    </row>
    <row r="3" ht="41.4" customHeight="1">
      <c r="E3" s="37" t="inlineStr">
        <is>
          <t>Figure Name</t>
        </is>
      </c>
      <c r="F3" s="37" t="inlineStr">
        <is>
          <t>Figure Sheet Location</t>
        </is>
      </c>
      <c r="G3" s="37" t="inlineStr">
        <is>
          <t>Figure Sheet Data Left Corner</t>
        </is>
      </c>
      <c r="H3" s="37" t="inlineStr">
        <is>
          <t>Number of Rows</t>
        </is>
      </c>
      <c r="I3" s="37" t="inlineStr">
        <is>
          <t>Number of Columns</t>
        </is>
      </c>
      <c r="J3" s="37" t="inlineStr">
        <is>
          <t>CSV Data Filename</t>
        </is>
      </c>
      <c r="K3" s="37" t="inlineStr">
        <is>
          <t>CSV Data Left Corner</t>
        </is>
      </c>
      <c r="L3" s="38" t="inlineStr">
        <is>
          <t>Bulleted 
Table</t>
        </is>
      </c>
    </row>
    <row r="4">
      <c r="A4" s="39" t="n"/>
      <c r="D4" s="36" t="n">
        <v>4</v>
      </c>
      <c r="E4" s="40" t="inlineStr">
        <is>
          <t>Table 1</t>
        </is>
      </c>
      <c r="F4" s="40" t="inlineStr">
        <is>
          <t>Table 1</t>
        </is>
      </c>
      <c r="G4" s="40" t="inlineStr">
        <is>
          <t>E2</t>
        </is>
      </c>
      <c r="H4" s="40" t="n">
        <v>10</v>
      </c>
      <c r="I4" s="40" t="n">
        <v>3</v>
      </c>
      <c r="J4" s="40">
        <f>CONCATENATE("Comp",'Current Parameters'!A$11,"_Table1.csv")</f>
        <v/>
      </c>
      <c r="K4" s="41" t="inlineStr">
        <is>
          <t>A2</t>
        </is>
      </c>
      <c r="L4" s="42" t="n"/>
    </row>
    <row r="5">
      <c r="A5" s="43" t="n"/>
      <c r="D5" s="36" t="n">
        <v>5</v>
      </c>
      <c r="E5" s="44" t="inlineStr">
        <is>
          <t>Figure 1</t>
        </is>
      </c>
      <c r="F5" s="44" t="inlineStr">
        <is>
          <t>Figure 1</t>
        </is>
      </c>
      <c r="G5" s="44" t="inlineStr">
        <is>
          <t>E2</t>
        </is>
      </c>
      <c r="H5" s="44" t="n">
        <v>10</v>
      </c>
      <c r="I5" s="44" t="n">
        <v>3</v>
      </c>
      <c r="J5" s="40">
        <f>CONCATENATE("Comp",'Current Parameters'!A$11,"_Figure1.csv")</f>
        <v/>
      </c>
      <c r="K5" s="42" t="inlineStr">
        <is>
          <t>A2</t>
        </is>
      </c>
      <c r="L5" s="42" t="n"/>
    </row>
    <row r="6">
      <c r="D6" s="36" t="n">
        <v>6</v>
      </c>
      <c r="E6" s="44" t="inlineStr">
        <is>
          <t>Figure 2</t>
        </is>
      </c>
      <c r="F6" s="44" t="inlineStr">
        <is>
          <t>Figure 2</t>
        </is>
      </c>
      <c r="G6" s="44" t="inlineStr">
        <is>
          <t>E2</t>
        </is>
      </c>
      <c r="H6" s="44" t="n">
        <v>10</v>
      </c>
      <c r="I6" s="44" t="n">
        <v>3</v>
      </c>
      <c r="J6" s="40">
        <f>CONCATENATE("Comp",'Current Parameters'!A$11,"_Figure2.csv")</f>
        <v/>
      </c>
      <c r="K6" s="42" t="inlineStr">
        <is>
          <t>A2</t>
        </is>
      </c>
      <c r="L6" s="42" t="n"/>
    </row>
    <row r="7">
      <c r="D7" s="36" t="n">
        <v>7</v>
      </c>
      <c r="E7" s="44" t="inlineStr">
        <is>
          <t>Bullet 1</t>
        </is>
      </c>
      <c r="F7" s="44" t="inlineStr">
        <is>
          <t>Bullet 1</t>
        </is>
      </c>
      <c r="G7" s="44" t="inlineStr">
        <is>
          <t>E2</t>
        </is>
      </c>
      <c r="H7" s="44" t="n">
        <v>10</v>
      </c>
      <c r="I7" s="44" t="n">
        <v>3</v>
      </c>
      <c r="J7" s="40">
        <f>CONCATENATE("Comp",'Current Parameters'!A$11,"_Figure2.csv")</f>
        <v/>
      </c>
      <c r="K7" s="42" t="inlineStr">
        <is>
          <t>A2</t>
        </is>
      </c>
      <c r="L7" s="42" t="n"/>
    </row>
    <row r="8">
      <c r="D8" s="36" t="n">
        <v>8</v>
      </c>
      <c r="E8" s="44" t="n"/>
      <c r="F8" s="44" t="n"/>
      <c r="G8" s="44" t="n"/>
      <c r="H8" s="44" t="n"/>
      <c r="I8" s="44" t="n"/>
      <c r="J8" s="44" t="n"/>
      <c r="K8" s="42" t="n"/>
      <c r="L8" s="42" t="n"/>
    </row>
    <row r="9">
      <c r="D9" s="36" t="n">
        <v>9</v>
      </c>
      <c r="E9" s="44" t="n"/>
      <c r="F9" s="44" t="n"/>
      <c r="G9" s="44" t="n"/>
      <c r="H9" s="44" t="n"/>
      <c r="I9" s="44" t="n"/>
      <c r="J9" s="44" t="n"/>
      <c r="K9" s="42" t="n"/>
      <c r="L9" s="42" t="n"/>
    </row>
    <row r="10">
      <c r="D10" s="36" t="n">
        <v>10</v>
      </c>
      <c r="E10" s="44" t="n"/>
      <c r="F10" s="44" t="n"/>
      <c r="G10" s="44" t="n"/>
      <c r="H10" s="44" t="n"/>
      <c r="I10" s="44" t="n"/>
      <c r="J10" s="44" t="n"/>
      <c r="K10" s="42" t="n"/>
      <c r="L10" s="42" t="n"/>
    </row>
    <row r="11">
      <c r="D11" s="36" t="n">
        <v>11</v>
      </c>
      <c r="E11" s="44" t="n"/>
      <c r="F11" s="44" t="n"/>
      <c r="G11" s="44" t="n"/>
      <c r="H11" s="44" t="n"/>
      <c r="I11" s="44" t="n"/>
      <c r="J11" s="44" t="n"/>
      <c r="K11" s="44" t="n"/>
      <c r="L11" s="42" t="n"/>
    </row>
    <row r="12">
      <c r="D12" s="36" t="n">
        <v>12</v>
      </c>
      <c r="E12" s="44" t="n"/>
      <c r="F12" s="44" t="n"/>
      <c r="G12" s="44" t="n"/>
      <c r="H12" s="44" t="n"/>
      <c r="I12" s="44" t="n"/>
      <c r="J12" s="44" t="n"/>
      <c r="K12" s="44" t="n"/>
      <c r="L12" s="42" t="n"/>
    </row>
    <row r="13">
      <c r="D13" s="36" t="n">
        <v>13</v>
      </c>
      <c r="E13" s="44" t="n"/>
      <c r="F13" s="44" t="n"/>
      <c r="G13" s="44" t="n"/>
      <c r="H13" s="44" t="n"/>
      <c r="I13" s="44" t="n"/>
      <c r="J13" s="44" t="n"/>
      <c r="K13" s="44" t="n"/>
      <c r="L13" s="42" t="n"/>
    </row>
    <row r="14">
      <c r="D14" s="36" t="n">
        <v>14</v>
      </c>
      <c r="E14" s="44" t="n"/>
      <c r="F14" s="44" t="n"/>
      <c r="G14" s="44" t="n"/>
      <c r="H14" s="44" t="n"/>
      <c r="I14" s="44" t="n"/>
      <c r="J14" s="44" t="n"/>
      <c r="K14" s="44" t="n"/>
      <c r="L14" s="42" t="n"/>
    </row>
    <row r="15">
      <c r="D15" s="36" t="n">
        <v>15</v>
      </c>
      <c r="E15" s="44" t="n"/>
      <c r="F15" s="44" t="n"/>
      <c r="G15" s="44" t="n"/>
      <c r="H15" s="44" t="n"/>
      <c r="I15" s="44" t="n"/>
      <c r="J15" s="44" t="n"/>
      <c r="K15" s="44" t="n"/>
      <c r="L15" s="42" t="n"/>
    </row>
    <row r="16">
      <c r="D16" s="36" t="n">
        <v>16</v>
      </c>
      <c r="E16" s="44" t="n"/>
      <c r="F16" s="44" t="n"/>
      <c r="G16" s="44" t="n"/>
      <c r="H16" s="44" t="n"/>
      <c r="I16" s="44" t="n"/>
      <c r="J16" s="44" t="n"/>
      <c r="K16" s="44" t="n"/>
      <c r="L16" s="42" t="n"/>
    </row>
    <row r="17">
      <c r="D17" s="36" t="n">
        <v>17</v>
      </c>
      <c r="E17" s="44" t="n"/>
      <c r="F17" s="44" t="n"/>
      <c r="G17" s="44" t="n"/>
      <c r="H17" s="44" t="n"/>
      <c r="I17" s="44" t="n"/>
      <c r="J17" s="44" t="n"/>
      <c r="K17" s="44" t="n"/>
      <c r="L17" s="42" t="n"/>
    </row>
    <row r="18">
      <c r="D18" s="36" t="n">
        <v>18</v>
      </c>
      <c r="E18" s="44" t="n"/>
      <c r="F18" s="44" t="n"/>
      <c r="G18" s="44" t="n"/>
      <c r="H18" s="44" t="n"/>
      <c r="I18" s="44" t="n"/>
      <c r="J18" s="44" t="n"/>
      <c r="K18" s="44" t="n"/>
      <c r="L18" s="42" t="n"/>
    </row>
    <row r="19">
      <c r="D19" s="36" t="n">
        <v>19</v>
      </c>
      <c r="E19" s="44" t="n"/>
      <c r="F19" s="44" t="n"/>
      <c r="G19" s="44" t="n"/>
      <c r="H19" s="44" t="n"/>
      <c r="I19" s="44" t="n"/>
      <c r="J19" s="44" t="n"/>
      <c r="K19" s="44" t="n"/>
      <c r="L19" s="42" t="n"/>
    </row>
    <row r="20">
      <c r="D20" s="36" t="n">
        <v>20</v>
      </c>
      <c r="E20" s="44" t="n"/>
      <c r="F20" s="44" t="n"/>
      <c r="G20" s="44" t="n"/>
      <c r="H20" s="44" t="n"/>
      <c r="I20" s="44" t="n"/>
      <c r="J20" s="44" t="n"/>
      <c r="K20" s="44" t="n"/>
      <c r="L20" s="42" t="n"/>
    </row>
    <row r="21">
      <c r="D21" s="36" t="n">
        <v>21</v>
      </c>
      <c r="E21" s="44" t="n"/>
      <c r="F21" s="44" t="n"/>
      <c r="G21" s="44" t="n"/>
      <c r="H21" s="44" t="n"/>
      <c r="I21" s="44" t="n"/>
      <c r="J21" s="44" t="n"/>
      <c r="K21" s="44" t="n"/>
      <c r="L21" s="42" t="n"/>
    </row>
    <row r="22">
      <c r="D22" s="36" t="n">
        <v>22</v>
      </c>
      <c r="E22" s="44" t="n"/>
      <c r="F22" s="44" t="n"/>
      <c r="G22" s="44" t="n"/>
      <c r="H22" s="44" t="n"/>
      <c r="I22" s="44" t="n"/>
      <c r="J22" s="44" t="n"/>
      <c r="K22" s="44" t="n"/>
      <c r="L22" s="42" t="n"/>
    </row>
    <row r="23">
      <c r="D23" s="36" t="n">
        <v>23</v>
      </c>
      <c r="E23" s="44" t="n"/>
      <c r="F23" s="44" t="n"/>
      <c r="G23" s="44" t="n"/>
      <c r="H23" s="44" t="n"/>
      <c r="I23" s="44" t="n"/>
      <c r="J23" s="44" t="n"/>
      <c r="K23" s="44" t="n"/>
      <c r="L23" s="42" t="n"/>
    </row>
    <row r="24">
      <c r="D24" s="36" t="n">
        <v>24</v>
      </c>
      <c r="E24" s="44" t="n"/>
      <c r="F24" s="44" t="n"/>
      <c r="G24" s="44" t="n"/>
      <c r="H24" s="44" t="n"/>
      <c r="I24" s="44" t="n"/>
      <c r="J24" s="44" t="n"/>
      <c r="K24" s="44" t="n"/>
      <c r="L24" s="42" t="n"/>
    </row>
    <row r="25">
      <c r="D25" s="36" t="n">
        <v>25</v>
      </c>
      <c r="E25" s="44" t="n"/>
      <c r="F25" s="44" t="n"/>
      <c r="G25" s="44" t="n"/>
      <c r="H25" s="44" t="n"/>
      <c r="I25" s="44" t="n"/>
      <c r="J25" s="44" t="n"/>
      <c r="K25" s="44" t="n"/>
      <c r="L25" s="42" t="n"/>
    </row>
    <row r="26">
      <c r="D26" s="36" t="n">
        <v>26</v>
      </c>
      <c r="E26" s="44" t="n"/>
      <c r="F26" s="44" t="n"/>
      <c r="G26" s="44" t="n"/>
      <c r="H26" s="44" t="n"/>
      <c r="I26" s="44" t="n"/>
      <c r="J26" s="44" t="n"/>
      <c r="K26" s="44" t="n"/>
      <c r="L26" s="42" t="n"/>
    </row>
    <row r="27">
      <c r="D27" s="36" t="n">
        <v>27</v>
      </c>
      <c r="E27" s="44" t="n"/>
      <c r="F27" s="44" t="n"/>
      <c r="G27" s="44" t="n"/>
      <c r="H27" s="44" t="n"/>
      <c r="I27" s="44" t="n"/>
      <c r="J27" s="44" t="n"/>
      <c r="K27" s="44" t="n"/>
      <c r="L27" s="42" t="n"/>
    </row>
    <row r="28">
      <c r="D28" s="36" t="n">
        <v>28</v>
      </c>
      <c r="E28" s="44" t="n"/>
      <c r="F28" s="44" t="n"/>
      <c r="G28" s="44" t="n"/>
      <c r="H28" s="44" t="n"/>
      <c r="I28" s="44" t="n"/>
      <c r="J28" s="44" t="n"/>
      <c r="K28" s="44" t="n"/>
      <c r="L28" s="42" t="n"/>
    </row>
    <row r="29">
      <c r="D29" s="36" t="n">
        <v>29</v>
      </c>
      <c r="E29" s="44" t="n"/>
      <c r="F29" s="44" t="n"/>
      <c r="G29" s="44" t="n"/>
      <c r="H29" s="44" t="n"/>
      <c r="I29" s="44" t="n"/>
      <c r="J29" s="44" t="n"/>
      <c r="K29" s="44" t="n"/>
      <c r="L29" s="42" t="n"/>
    </row>
    <row r="30">
      <c r="D30" s="36" t="n">
        <v>30</v>
      </c>
      <c r="E30" s="42" t="n"/>
      <c r="F30" s="42" t="n"/>
      <c r="G30" s="42" t="n"/>
      <c r="H30" s="42" t="n"/>
      <c r="I30" s="42" t="n"/>
      <c r="J30" s="42" t="n"/>
      <c r="K30" s="42" t="n"/>
      <c r="L30" s="42" t="n"/>
    </row>
    <row r="31">
      <c r="D31" s="36" t="n">
        <v>31</v>
      </c>
      <c r="E31" s="42" t="n"/>
      <c r="F31" s="42" t="n"/>
      <c r="G31" s="42" t="n"/>
      <c r="H31" s="42" t="n"/>
      <c r="I31" s="42" t="n"/>
      <c r="J31" s="42" t="n"/>
      <c r="K31" s="42" t="n"/>
      <c r="L31" s="42" t="n"/>
    </row>
    <row r="32">
      <c r="D32" s="36" t="n">
        <v>32</v>
      </c>
      <c r="E32" s="42" t="n"/>
      <c r="F32" s="42" t="n"/>
      <c r="G32" s="42" t="n"/>
      <c r="H32" s="42" t="n"/>
      <c r="I32" s="42" t="n"/>
      <c r="J32" s="42" t="n"/>
      <c r="K32" s="42" t="n"/>
      <c r="L32" s="42" t="n"/>
    </row>
    <row r="33">
      <c r="D33" s="36" t="n">
        <v>33</v>
      </c>
      <c r="E33" s="42" t="n"/>
      <c r="F33" s="42" t="n"/>
      <c r="G33" s="42" t="n"/>
      <c r="H33" s="42" t="n"/>
      <c r="I33" s="42" t="n"/>
      <c r="J33" s="42" t="n"/>
      <c r="K33" s="42" t="n"/>
      <c r="L33" s="42" t="n"/>
    </row>
    <row r="34">
      <c r="D34" s="36" t="n">
        <v>34</v>
      </c>
      <c r="E34" s="42" t="n"/>
      <c r="F34" s="42" t="n"/>
      <c r="G34" s="42" t="n"/>
      <c r="H34" s="42" t="n"/>
      <c r="I34" s="42" t="n"/>
      <c r="J34" s="42" t="n"/>
      <c r="K34" s="42" t="n"/>
      <c r="L34" s="42" t="n"/>
    </row>
    <row r="35">
      <c r="D35" s="36" t="n">
        <v>35</v>
      </c>
      <c r="E35" s="42" t="n"/>
      <c r="F35" s="42" t="n"/>
      <c r="G35" s="42" t="n"/>
      <c r="H35" s="42" t="n"/>
      <c r="I35" s="42" t="n"/>
      <c r="J35" s="42" t="n"/>
      <c r="K35" s="42" t="n"/>
      <c r="L35" s="42" t="n"/>
    </row>
    <row r="36">
      <c r="D36" s="36" t="n">
        <v>36</v>
      </c>
      <c r="E36" s="42" t="n"/>
      <c r="F36" s="42" t="n"/>
      <c r="G36" s="42" t="n"/>
      <c r="H36" s="42" t="n"/>
      <c r="I36" s="42" t="n"/>
      <c r="J36" s="42" t="n"/>
      <c r="K36" s="42" t="n"/>
      <c r="L36" s="42" t="n"/>
    </row>
  </sheetData>
  <mergeCells count="1">
    <mergeCell ref="A2:G2"/>
  </mergeCells>
  <pageMargins left="0.7" right="0.7" top="0.75" bottom="0.75" header="0.3" footer="0.3"/>
  <pageSetup orientation="portrait"/>
  <legacyDrawing xmlns:r="http://schemas.openxmlformats.org/officeDocument/2006/relationships" r:id="anysvml"/>
</worksheet>
</file>

<file path=xl/worksheets/sheet4.xml><?xml version="1.0" encoding="utf-8"?>
<worksheet xmlns="http://schemas.openxmlformats.org/spreadsheetml/2006/main">
  <sheetPr codeName="Sheet37">
    <outlinePr summaryBelow="1" summaryRight="1"/>
    <pageSetUpPr/>
  </sheetPr>
  <dimension ref="A1:AZ3761"/>
  <sheetViews>
    <sheetView topLeftCell="P1" zoomScale="90" zoomScaleNormal="90" workbookViewId="0">
      <selection activeCell="S7" sqref="S7"/>
    </sheetView>
  </sheetViews>
  <sheetFormatPr baseColWidth="8" defaultColWidth="9.1640625" defaultRowHeight="14.1"/>
  <cols>
    <col width="11.1640625" customWidth="1" style="25" min="1" max="1"/>
    <col width="18.44140625" bestFit="1" customWidth="1" style="25" min="2" max="2"/>
    <col width="23.5546875" customWidth="1" style="74" min="3" max="3"/>
    <col width="9.1640625" customWidth="1" style="7" min="4" max="4"/>
    <col width="9.1640625" customWidth="1" style="7" min="5" max="5"/>
    <col width="7.44140625" customWidth="1" style="7" min="6" max="6"/>
    <col width="8.1640625" bestFit="1" customWidth="1" style="25" min="7" max="7"/>
    <col width="11.71875" bestFit="1" customWidth="1" style="25" min="8" max="8"/>
    <col width="8.83203125" bestFit="1" customWidth="1" style="25" min="9" max="9"/>
    <col width="11.5546875" bestFit="1" customWidth="1" style="25" min="10" max="10"/>
    <col width="11.44140625" customWidth="1" style="30" min="11" max="11"/>
    <col width="9.44140625" customWidth="1" style="7" min="12" max="12"/>
    <col width="7.44140625" bestFit="1" customWidth="1" style="7" min="13" max="13"/>
    <col width="8.44140625" bestFit="1" customWidth="1" style="25" min="14" max="14"/>
    <col width="11.71875" bestFit="1" customWidth="1" style="25" min="15" max="15"/>
    <col width="16.44140625" bestFit="1" customWidth="1" style="25" min="16" max="16"/>
    <col width="11.5546875" bestFit="1" customWidth="1" style="25" min="17" max="17"/>
    <col width="13.5546875" bestFit="1" customWidth="1" style="25" min="18" max="18"/>
    <col width="7.44140625" bestFit="1" customWidth="1" style="25" min="19" max="19"/>
    <col width="9.1640625" customWidth="1" style="30" min="20" max="20"/>
    <col width="18.109375" customWidth="1" style="30" min="21" max="21"/>
    <col width="9.1640625" customWidth="1" style="30" min="22" max="23"/>
    <col width="11.88671875" customWidth="1" style="30" min="24" max="24"/>
    <col width="9.1640625" customWidth="1" style="7" min="25" max="25"/>
    <col width="16.94140625" customWidth="1" style="7" min="26" max="26"/>
    <col width="9.1640625" customWidth="1" style="7" min="27" max="16384"/>
  </cols>
  <sheetData>
    <row r="1" ht="59.7" customHeight="1">
      <c r="A1" s="19" t="inlineStr">
        <is>
          <t>value id</t>
        </is>
      </c>
      <c r="B1" s="19" t="inlineStr">
        <is>
          <t>description</t>
        </is>
      </c>
      <c r="C1" s="79" t="inlineStr">
        <is>
          <t>value</t>
        </is>
      </c>
      <c r="F1" s="18" t="inlineStr">
        <is>
          <t>Charts</t>
        </is>
      </c>
      <c r="G1" s="19" t="inlineStr">
        <is>
          <t>chart id</t>
        </is>
      </c>
      <c r="H1" s="19" t="inlineStr">
        <is>
          <t>description</t>
        </is>
      </c>
      <c r="I1" s="19" t="inlineStr">
        <is>
          <t>sheet</t>
        </is>
      </c>
      <c r="J1" s="19" t="inlineStr">
        <is>
          <t>chart name</t>
        </is>
      </c>
      <c r="K1" s="69" t="inlineStr">
        <is>
          <t>chart range</t>
        </is>
      </c>
      <c r="L1" s="81" t="inlineStr">
        <is>
          <t>Alt-Text Override Column</t>
        </is>
      </c>
      <c r="M1" s="18" t="inlineStr">
        <is>
          <t>Tables</t>
        </is>
      </c>
      <c r="N1" s="19" t="inlineStr">
        <is>
          <t>table id</t>
        </is>
      </c>
      <c r="O1" s="19" t="inlineStr">
        <is>
          <t>description</t>
        </is>
      </c>
      <c r="P1" s="19" t="inlineStr">
        <is>
          <t>sheet</t>
        </is>
      </c>
      <c r="Q1" s="19" t="inlineStr">
        <is>
          <t>table range</t>
        </is>
      </c>
      <c r="R1" s="19" t="inlineStr">
        <is>
          <t>fit to window</t>
        </is>
      </c>
      <c r="S1" s="19" t="inlineStr">
        <is>
          <t>center</t>
        </is>
      </c>
      <c r="T1" s="81" t="inlineStr">
        <is>
          <t>word table template</t>
        </is>
      </c>
      <c r="U1" s="81" t="inlineStr">
        <is>
          <t>table type</t>
        </is>
      </c>
      <c r="V1" s="81" t="inlineStr">
        <is>
          <t>number of rows as header</t>
        </is>
      </c>
      <c r="W1" s="81" t="inlineStr">
        <is>
          <t>Alt-Text Title</t>
        </is>
      </c>
      <c r="X1" s="81" t="inlineStr">
        <is>
          <t>Alt-Text Description</t>
        </is>
      </c>
      <c r="Y1" s="81" t="inlineStr">
        <is>
          <t>Padding (in Px) {Default is 1px}</t>
        </is>
      </c>
      <c r="Z1" s="81" t="inlineStr">
        <is>
          <t>Padding Location (E.G. Type RLT for all, R  just for right)</t>
        </is>
      </c>
    </row>
    <row r="2">
      <c r="A2" s="25" t="inlineStr">
        <is>
          <t>company</t>
        </is>
      </c>
      <c r="B2" s="25" t="inlineStr">
        <is>
          <t>company</t>
        </is>
      </c>
      <c r="C2" s="85">
        <f>CONCATENATE("Company ",'Current Parameters'!A11)</f>
        <v/>
      </c>
      <c r="G2" s="24" t="inlineStr">
        <is>
          <t>Figure01</t>
        </is>
      </c>
      <c r="H2" s="25" t="inlineStr">
        <is>
          <t>Figure 1</t>
        </is>
      </c>
      <c r="I2" s="25" t="inlineStr">
        <is>
          <t>Figure 1</t>
        </is>
      </c>
      <c r="J2" s="25" t="inlineStr">
        <is>
          <t>Chart 1</t>
        </is>
      </c>
      <c r="K2" s="30">
        <f>ChartRanges!F5</f>
        <v/>
      </c>
      <c r="L2" s="30" t="inlineStr">
        <is>
          <t>C</t>
        </is>
      </c>
      <c r="N2" s="25" t="inlineStr">
        <is>
          <t>Table01</t>
        </is>
      </c>
      <c r="O2" s="25" t="inlineStr">
        <is>
          <t>Table 1</t>
        </is>
      </c>
      <c r="P2" s="25" t="inlineStr">
        <is>
          <t>Table 1</t>
        </is>
      </c>
      <c r="Q2" s="25">
        <f>ChartRanges!F4</f>
        <v/>
      </c>
      <c r="R2" s="25">
        <f>IF(ChartRanges!C11&gt;5,TRUE,FALSE)</f>
        <v/>
      </c>
      <c r="S2" s="25" t="b">
        <v>1</v>
      </c>
      <c r="T2" s="30" t="b">
        <v>0</v>
      </c>
      <c r="V2" s="30" t="n">
        <v>1</v>
      </c>
      <c r="W2" s="30" t="inlineStr">
        <is>
          <t>Table of Number of Employees by Age</t>
        </is>
      </c>
      <c r="X2" s="30">
        <f>'Table 1'!C1</f>
        <v/>
      </c>
      <c r="Y2" s="30" t="n">
        <v>10</v>
      </c>
      <c r="Z2" s="30" t="inlineStr">
        <is>
          <t>R</t>
        </is>
      </c>
      <c r="AZ2" s="7" t="inlineStr">
        <is>
          <t>Variable Row</t>
        </is>
      </c>
    </row>
    <row r="3">
      <c r="A3" s="25" t="inlineStr">
        <is>
          <t>year</t>
        </is>
      </c>
      <c r="B3" s="25" t="inlineStr">
        <is>
          <t>year</t>
        </is>
      </c>
      <c r="C3" s="75">
        <f>Date!D2</f>
        <v/>
      </c>
      <c r="G3" s="30" t="inlineStr">
        <is>
          <t>Figure02</t>
        </is>
      </c>
      <c r="H3" s="25" t="inlineStr">
        <is>
          <t>Figure 2</t>
        </is>
      </c>
      <c r="I3" s="25" t="inlineStr">
        <is>
          <t>Figure 2</t>
        </is>
      </c>
      <c r="J3" s="25" t="inlineStr">
        <is>
          <t>Chart 1</t>
        </is>
      </c>
      <c r="K3" s="30">
        <f>ChartRanges!F6</f>
        <v/>
      </c>
      <c r="L3" s="30" t="n"/>
      <c r="N3" s="25" t="inlineStr">
        <is>
          <t>Bullet01</t>
        </is>
      </c>
      <c r="O3" s="25" t="inlineStr">
        <is>
          <t>Bullet 1</t>
        </is>
      </c>
      <c r="P3" s="25" t="inlineStr">
        <is>
          <t>Bullet 1</t>
        </is>
      </c>
      <c r="Q3" s="25">
        <f>ChartRanges!F7</f>
        <v/>
      </c>
      <c r="R3" s="25" t="b">
        <v>0</v>
      </c>
      <c r="S3" s="25" t="b">
        <v>0</v>
      </c>
      <c r="T3" s="30" t="b">
        <v>0</v>
      </c>
      <c r="Y3" s="30" t="n"/>
      <c r="Z3" s="30" t="n"/>
      <c r="AZ3" s="7" t="inlineStr">
        <is>
          <t>Fixed Row</t>
        </is>
      </c>
    </row>
    <row r="4">
      <c r="A4" s="25" t="inlineStr">
        <is>
          <t>count</t>
        </is>
      </c>
      <c r="B4" s="25" t="inlineStr">
        <is>
          <t>total employees</t>
        </is>
      </c>
      <c r="C4" s="86">
        <f>SUM('Table 1'!B2:B10)</f>
        <v/>
      </c>
      <c r="G4" s="30" t="n"/>
      <c r="L4" s="30" t="n"/>
      <c r="N4" s="25" t="inlineStr">
        <is>
          <t>Table02</t>
        </is>
      </c>
      <c r="O4" s="25" t="inlineStr">
        <is>
          <t>Table 1 Ult</t>
        </is>
      </c>
      <c r="P4" s="25" t="inlineStr">
        <is>
          <t>Table 2</t>
        </is>
      </c>
      <c r="Q4" s="25">
        <f>ChartRanges!F8</f>
        <v/>
      </c>
      <c r="T4" s="30" t="b">
        <v>1</v>
      </c>
      <c r="U4" s="30" t="inlineStr">
        <is>
          <t>Fixed Row One Tag</t>
        </is>
      </c>
      <c r="W4" s="30" t="inlineStr">
        <is>
          <t>Example 2 Title</t>
        </is>
      </c>
      <c r="X4" s="30" t="inlineStr">
        <is>
          <t>Example 2 Description</t>
        </is>
      </c>
      <c r="Y4" s="30" t="n"/>
      <c r="Z4" s="30" t="n"/>
      <c r="AZ4" s="7" t="inlineStr">
        <is>
          <t>Table Convert</t>
        </is>
      </c>
    </row>
    <row r="5">
      <c r="G5" s="30" t="n"/>
      <c r="L5" s="30" t="n"/>
      <c r="N5" s="25" t="inlineStr">
        <is>
          <t>Table03</t>
        </is>
      </c>
      <c r="O5" s="25" t="inlineStr">
        <is>
          <t>Table 1 Ult</t>
        </is>
      </c>
      <c r="P5" s="25" t="inlineStr">
        <is>
          <t>Table 3</t>
        </is>
      </c>
      <c r="Q5" s="25">
        <f>ChartRanges!F9</f>
        <v/>
      </c>
      <c r="T5" s="30" t="b">
        <v>0</v>
      </c>
      <c r="U5" s="30" t="inlineStr">
        <is>
          <t>Table Convert</t>
        </is>
      </c>
      <c r="V5" t="n">
        <v>2</v>
      </c>
      <c r="W5" s="30" t="inlineStr">
        <is>
          <t>Employee counts and percentages by gender</t>
        </is>
      </c>
      <c r="X5" s="30" t="inlineStr">
        <is>
          <t>Count and percentage of male and female employees.</t>
        </is>
      </c>
      <c r="Y5" s="30" t="n"/>
      <c r="Z5" s="30" t="n"/>
    </row>
    <row r="6">
      <c r="G6" s="30" t="n"/>
      <c r="L6" s="30" t="n"/>
      <c r="Y6" s="30" t="n"/>
      <c r="Z6" s="30" t="n"/>
    </row>
    <row r="7">
      <c r="G7" s="30" t="n"/>
      <c r="L7" s="30" t="n"/>
      <c r="Y7" s="30" t="n"/>
      <c r="Z7" s="30" t="n"/>
    </row>
    <row r="8">
      <c r="G8" s="30" t="n"/>
      <c r="L8" s="30" t="n"/>
      <c r="Y8" s="30" t="n"/>
      <c r="Z8" s="30" t="n"/>
    </row>
    <row r="9">
      <c r="L9" s="30" t="n"/>
      <c r="Y9" s="30" t="n"/>
      <c r="Z9" s="30" t="n"/>
    </row>
    <row r="10">
      <c r="L10" s="30" t="n"/>
      <c r="Y10" s="30" t="n"/>
      <c r="Z10" s="30" t="n"/>
    </row>
    <row r="11">
      <c r="G11" s="30" t="n"/>
      <c r="L11" s="30" t="n"/>
      <c r="Y11" s="30" t="n"/>
      <c r="Z11" s="30" t="n"/>
    </row>
    <row r="12">
      <c r="A12" s="46" t="n"/>
      <c r="G12" s="30" t="n"/>
      <c r="L12" s="30" t="n"/>
      <c r="Y12" s="30" t="n"/>
      <c r="Z12" s="30" t="n"/>
    </row>
    <row r="13">
      <c r="C13" s="76" t="n"/>
      <c r="G13" s="30" t="n"/>
      <c r="L13" s="30" t="n"/>
      <c r="Y13" s="30" t="n"/>
      <c r="Z13" s="30" t="n"/>
    </row>
    <row r="14">
      <c r="C14" s="77" t="n"/>
      <c r="G14" s="30" t="n"/>
      <c r="L14" s="30" t="n"/>
      <c r="Y14" s="30" t="n"/>
      <c r="Z14" s="30" t="n"/>
    </row>
    <row r="15">
      <c r="C15" s="77" t="n"/>
      <c r="G15" s="30" t="n"/>
      <c r="L15" s="30" t="n"/>
      <c r="Y15" s="30" t="n"/>
      <c r="Z15" s="30" t="n"/>
    </row>
    <row r="16">
      <c r="C16" s="75" t="n"/>
      <c r="G16" s="30" t="n"/>
      <c r="L16" s="30" t="n"/>
      <c r="Y16" s="30" t="n"/>
      <c r="Z16" s="30" t="n"/>
    </row>
    <row r="17">
      <c r="C17" s="78" t="n"/>
      <c r="G17" s="30" t="n"/>
      <c r="L17" s="30" t="n"/>
      <c r="Y17" s="30" t="n"/>
      <c r="Z17" s="30" t="n"/>
    </row>
    <row r="18">
      <c r="G18" s="30" t="n"/>
      <c r="L18" s="30" t="n"/>
      <c r="Y18" s="30" t="n"/>
      <c r="Z18" s="30" t="n"/>
    </row>
    <row r="19">
      <c r="G19" s="30" t="n"/>
      <c r="L19" s="30" t="n"/>
      <c r="Y19" s="30" t="n"/>
      <c r="Z19" s="30" t="n"/>
    </row>
    <row r="20">
      <c r="C20" s="75" t="n"/>
      <c r="G20" s="30" t="n"/>
      <c r="L20" s="30" t="n"/>
      <c r="Y20" s="30" t="n"/>
      <c r="Z20" s="30" t="n"/>
    </row>
    <row r="21">
      <c r="G21" s="30" t="n"/>
      <c r="L21" s="30" t="n"/>
      <c r="Y21" s="30" t="n"/>
      <c r="Z21" s="30" t="n"/>
    </row>
    <row r="22">
      <c r="G22" s="30" t="n"/>
      <c r="L22" s="30" t="n"/>
      <c r="Y22" s="30" t="n"/>
      <c r="Z22" s="30" t="n"/>
    </row>
    <row r="23">
      <c r="G23" s="30" t="n"/>
      <c r="L23" s="30" t="n"/>
      <c r="Y23" s="30" t="n"/>
      <c r="Z23" s="30" t="n"/>
    </row>
    <row r="24">
      <c r="G24" s="30" t="n"/>
      <c r="L24" s="30" t="n"/>
      <c r="Y24" s="30" t="n"/>
      <c r="Z24" s="30" t="n"/>
    </row>
    <row r="25">
      <c r="G25" s="30" t="n"/>
      <c r="L25" s="30" t="n"/>
      <c r="Y25" s="30" t="n"/>
      <c r="Z25" s="30" t="n"/>
    </row>
    <row r="26">
      <c r="G26" s="30" t="n"/>
      <c r="L26" s="30" t="n"/>
      <c r="Y26" s="30" t="n"/>
      <c r="Z26" s="30" t="n"/>
    </row>
    <row r="27">
      <c r="G27" s="30" t="n"/>
      <c r="L27" s="30" t="n"/>
      <c r="Y27" s="30" t="n"/>
      <c r="Z27" s="30" t="n"/>
    </row>
    <row r="28">
      <c r="G28" s="30" t="n"/>
      <c r="L28" s="30" t="n"/>
      <c r="Y28" s="30" t="n"/>
      <c r="Z28" s="30" t="n"/>
    </row>
    <row r="29">
      <c r="G29" s="30" t="n"/>
      <c r="L29" s="30" t="n"/>
      <c r="Y29" s="30" t="n"/>
      <c r="Z29" s="30" t="n"/>
    </row>
    <row r="30">
      <c r="G30" s="30" t="n"/>
      <c r="L30" s="30" t="n"/>
      <c r="Y30" s="30" t="n"/>
      <c r="Z30" s="30" t="n"/>
    </row>
    <row r="31">
      <c r="G31" s="30" t="n"/>
      <c r="L31" s="30" t="n"/>
      <c r="Y31" s="30" t="n"/>
      <c r="Z31" s="30" t="n"/>
    </row>
    <row r="32">
      <c r="G32" s="30" t="n"/>
      <c r="L32" s="30" t="n"/>
      <c r="Y32" s="30" t="n"/>
      <c r="Z32" s="30" t="n"/>
    </row>
    <row r="33">
      <c r="L33" s="30" t="n"/>
      <c r="Y33" s="30" t="n"/>
      <c r="Z33" s="30" t="n"/>
    </row>
    <row r="34">
      <c r="L34" s="30" t="n"/>
      <c r="Y34" s="30" t="n"/>
      <c r="Z34" s="30" t="n"/>
    </row>
    <row r="35">
      <c r="L35" s="30" t="n"/>
      <c r="Y35" s="30" t="n"/>
      <c r="Z35" s="30" t="n"/>
    </row>
    <row r="36">
      <c r="L36" s="30" t="n"/>
      <c r="Y36" s="30" t="n"/>
      <c r="Z36" s="30" t="n"/>
    </row>
    <row r="37">
      <c r="L37" s="30" t="n"/>
      <c r="Y37" s="30" t="n"/>
      <c r="Z37" s="30" t="n"/>
    </row>
    <row r="38">
      <c r="L38" s="30" t="n"/>
      <c r="Y38" s="30" t="n"/>
      <c r="Z38" s="30" t="n"/>
    </row>
    <row r="39">
      <c r="L39" s="30" t="n"/>
      <c r="Y39" s="30" t="n"/>
      <c r="Z39" s="30" t="n"/>
    </row>
    <row r="40">
      <c r="L40" s="30" t="n"/>
      <c r="Y40" s="30" t="n"/>
      <c r="Z40" s="30" t="n"/>
    </row>
    <row r="41">
      <c r="L41" s="30" t="n"/>
      <c r="Y41" s="30" t="n"/>
      <c r="Z41" s="30" t="n"/>
    </row>
    <row r="42">
      <c r="L42" s="30" t="n"/>
      <c r="Y42" s="30" t="n"/>
      <c r="Z42" s="30" t="n"/>
    </row>
    <row r="43">
      <c r="L43" s="30" t="n"/>
      <c r="Y43" s="30" t="n"/>
      <c r="Z43" s="30" t="n"/>
    </row>
    <row r="44">
      <c r="L44" s="30" t="n"/>
      <c r="Y44" s="30" t="n"/>
      <c r="Z44" s="30" t="n"/>
    </row>
    <row r="45">
      <c r="L45" s="30" t="n"/>
      <c r="Y45" s="30" t="n"/>
      <c r="Z45" s="30" t="n"/>
    </row>
    <row r="46">
      <c r="L46" s="30" t="n"/>
      <c r="Y46" s="30" t="n"/>
      <c r="Z46" s="30" t="n"/>
    </row>
    <row r="47">
      <c r="L47" s="30" t="n"/>
      <c r="Y47" s="30" t="n"/>
      <c r="Z47" s="30" t="n"/>
    </row>
    <row r="48">
      <c r="L48" s="30" t="n"/>
      <c r="Y48" s="30" t="n"/>
      <c r="Z48" s="30" t="n"/>
    </row>
    <row r="49">
      <c r="L49" s="30" t="n"/>
      <c r="Y49" s="30" t="n"/>
      <c r="Z49" s="30" t="n"/>
    </row>
    <row r="50">
      <c r="L50" s="30" t="n"/>
      <c r="Y50" s="30" t="n"/>
      <c r="Z50" s="30" t="n"/>
    </row>
    <row r="51">
      <c r="L51" s="30" t="n"/>
      <c r="Y51" s="30" t="n"/>
      <c r="Z51" s="30" t="n"/>
    </row>
    <row r="52">
      <c r="L52" s="30" t="n"/>
      <c r="Y52" s="30" t="n"/>
      <c r="Z52" s="30" t="n"/>
    </row>
    <row r="53">
      <c r="L53" s="30" t="n"/>
      <c r="Y53" s="30" t="n"/>
      <c r="Z53" s="30" t="n"/>
    </row>
    <row r="54">
      <c r="L54" s="30" t="n"/>
      <c r="Y54" s="30" t="n"/>
      <c r="Z54" s="30" t="n"/>
    </row>
    <row r="55">
      <c r="L55" s="30" t="n"/>
      <c r="Y55" s="30" t="n"/>
      <c r="Z55" s="30" t="n"/>
    </row>
    <row r="56">
      <c r="L56" s="30" t="n"/>
      <c r="Y56" s="30" t="n"/>
      <c r="Z56" s="30" t="n"/>
    </row>
    <row r="57">
      <c r="L57" s="30" t="n"/>
      <c r="Y57" s="30" t="n"/>
      <c r="Z57" s="30" t="n"/>
    </row>
    <row r="58">
      <c r="L58" s="30" t="n"/>
      <c r="Y58" s="30" t="n"/>
      <c r="Z58" s="30" t="n"/>
    </row>
    <row r="59">
      <c r="L59" s="30" t="n"/>
      <c r="Y59" s="30" t="n"/>
      <c r="Z59" s="30" t="n"/>
    </row>
    <row r="60">
      <c r="L60" s="30" t="n"/>
      <c r="Y60" s="30" t="n"/>
      <c r="Z60" s="30" t="n"/>
    </row>
    <row r="61">
      <c r="L61" s="30" t="n"/>
      <c r="Y61" s="30" t="n"/>
      <c r="Z61" s="30" t="n"/>
    </row>
    <row r="62">
      <c r="L62" s="30" t="n"/>
      <c r="Y62" s="30" t="n"/>
      <c r="Z62" s="30" t="n"/>
    </row>
    <row r="63">
      <c r="L63" s="30" t="n"/>
      <c r="Y63" s="30" t="n"/>
      <c r="Z63" s="30" t="n"/>
    </row>
    <row r="64">
      <c r="L64" s="30" t="n"/>
      <c r="Y64" s="30" t="n"/>
      <c r="Z64" s="30" t="n"/>
    </row>
    <row r="65">
      <c r="L65" s="30" t="n"/>
      <c r="Y65" s="30" t="n"/>
      <c r="Z65" s="30" t="n"/>
    </row>
    <row r="66">
      <c r="L66" s="30" t="n"/>
      <c r="Y66" s="30" t="n"/>
      <c r="Z66" s="30" t="n"/>
    </row>
    <row r="67">
      <c r="L67" s="30" t="n"/>
      <c r="Y67" s="30" t="n"/>
      <c r="Z67" s="30" t="n"/>
    </row>
    <row r="68">
      <c r="L68" s="30" t="n"/>
      <c r="Y68" s="30" t="n"/>
      <c r="Z68" s="30" t="n"/>
    </row>
    <row r="69">
      <c r="L69" s="30" t="n"/>
      <c r="Y69" s="30" t="n"/>
      <c r="Z69" s="30" t="n"/>
    </row>
    <row r="70">
      <c r="L70" s="30" t="n"/>
      <c r="Y70" s="30" t="n"/>
      <c r="Z70" s="30" t="n"/>
    </row>
    <row r="71">
      <c r="L71" s="30" t="n"/>
      <c r="Y71" s="30" t="n"/>
      <c r="Z71" s="30" t="n"/>
    </row>
    <row r="72">
      <c r="L72" s="30" t="n"/>
      <c r="Y72" s="30" t="n"/>
      <c r="Z72" s="30" t="n"/>
    </row>
    <row r="73">
      <c r="L73" s="30" t="n"/>
      <c r="Y73" s="30" t="n"/>
      <c r="Z73" s="30" t="n"/>
    </row>
    <row r="74">
      <c r="L74" s="30" t="n"/>
      <c r="Y74" s="30" t="n"/>
      <c r="Z74" s="30" t="n"/>
    </row>
    <row r="75">
      <c r="L75" s="30" t="n"/>
      <c r="Y75" s="30" t="n"/>
      <c r="Z75" s="30" t="n"/>
    </row>
    <row r="76">
      <c r="L76" s="30" t="n"/>
      <c r="Y76" s="30" t="n"/>
      <c r="Z76" s="30" t="n"/>
    </row>
    <row r="77">
      <c r="L77" s="30" t="n"/>
      <c r="Y77" s="30" t="n"/>
      <c r="Z77" s="30" t="n"/>
    </row>
    <row r="78">
      <c r="L78" s="30" t="n"/>
      <c r="Y78" s="30" t="n"/>
      <c r="Z78" s="30" t="n"/>
    </row>
    <row r="79">
      <c r="L79" s="30" t="n"/>
      <c r="Y79" s="30" t="n"/>
      <c r="Z79" s="30" t="n"/>
    </row>
    <row r="80">
      <c r="L80" s="30" t="n"/>
      <c r="Y80" s="30" t="n"/>
      <c r="Z80" s="30" t="n"/>
    </row>
    <row r="81">
      <c r="L81" s="30" t="n"/>
      <c r="Y81" s="30" t="n"/>
      <c r="Z81" s="30" t="n"/>
    </row>
    <row r="82">
      <c r="L82" s="30" t="n"/>
      <c r="Y82" s="30" t="n"/>
      <c r="Z82" s="30" t="n"/>
    </row>
    <row r="83">
      <c r="L83" s="30" t="n"/>
      <c r="Y83" s="30" t="n"/>
      <c r="Z83" s="30" t="n"/>
    </row>
    <row r="84">
      <c r="L84" s="30" t="n"/>
      <c r="Y84" s="30" t="n"/>
      <c r="Z84" s="30" t="n"/>
    </row>
    <row r="85">
      <c r="L85" s="30" t="n"/>
      <c r="Y85" s="30" t="n"/>
      <c r="Z85" s="30" t="n"/>
    </row>
    <row r="86">
      <c r="L86" s="30" t="n"/>
      <c r="Y86" s="30" t="n"/>
      <c r="Z86" s="30" t="n"/>
    </row>
    <row r="87">
      <c r="L87" s="30" t="n"/>
      <c r="Y87" s="30" t="n"/>
      <c r="Z87" s="30" t="n"/>
    </row>
    <row r="88">
      <c r="L88" s="30" t="n"/>
      <c r="Y88" s="30" t="n"/>
      <c r="Z88" s="30" t="n"/>
    </row>
    <row r="89">
      <c r="L89" s="30" t="n"/>
      <c r="Y89" s="30" t="n"/>
      <c r="Z89" s="30" t="n"/>
    </row>
    <row r="90">
      <c r="L90" s="30" t="n"/>
      <c r="Y90" s="30" t="n"/>
      <c r="Z90" s="30" t="n"/>
    </row>
    <row r="91">
      <c r="L91" s="30" t="n"/>
      <c r="Y91" s="30" t="n"/>
      <c r="Z91" s="30" t="n"/>
    </row>
    <row r="92">
      <c r="L92" s="30" t="n"/>
      <c r="Y92" s="30" t="n"/>
      <c r="Z92" s="30" t="n"/>
    </row>
    <row r="93">
      <c r="L93" s="30" t="n"/>
      <c r="Y93" s="30" t="n"/>
      <c r="Z93" s="30" t="n"/>
    </row>
    <row r="94">
      <c r="L94" s="30" t="n"/>
      <c r="Y94" s="30" t="n"/>
      <c r="Z94" s="30" t="n"/>
    </row>
    <row r="95">
      <c r="L95" s="30" t="n"/>
      <c r="Y95" s="30" t="n"/>
      <c r="Z95" s="30" t="n"/>
    </row>
    <row r="96">
      <c r="L96" s="30" t="n"/>
      <c r="Y96" s="30" t="n"/>
      <c r="Z96" s="30" t="n"/>
    </row>
    <row r="97">
      <c r="L97" s="30" t="n"/>
      <c r="Y97" s="30" t="n"/>
      <c r="Z97" s="30" t="n"/>
    </row>
    <row r="98">
      <c r="L98" s="30" t="n"/>
      <c r="Y98" s="30" t="n"/>
      <c r="Z98" s="30" t="n"/>
    </row>
    <row r="99">
      <c r="L99" s="30" t="n"/>
      <c r="Y99" s="30" t="n"/>
      <c r="Z99" s="30" t="n"/>
    </row>
    <row r="100">
      <c r="L100" s="30" t="n"/>
      <c r="Y100" s="30" t="n"/>
      <c r="Z100" s="30" t="n"/>
    </row>
    <row r="101">
      <c r="L101" s="30" t="n"/>
      <c r="Y101" s="30" t="n"/>
      <c r="Z101" s="30" t="n"/>
    </row>
    <row r="102">
      <c r="L102" s="30" t="n"/>
      <c r="Y102" s="30" t="n"/>
      <c r="Z102" s="30" t="n"/>
    </row>
    <row r="103">
      <c r="L103" s="30" t="n"/>
      <c r="Y103" s="30" t="n"/>
      <c r="Z103" s="30" t="n"/>
    </row>
    <row r="104">
      <c r="L104" s="30" t="n"/>
      <c r="Y104" s="30" t="n"/>
      <c r="Z104" s="30" t="n"/>
    </row>
    <row r="105">
      <c r="L105" s="30" t="n"/>
      <c r="Y105" s="30" t="n"/>
      <c r="Z105" s="30" t="n"/>
    </row>
    <row r="106">
      <c r="L106" s="30" t="n"/>
      <c r="Y106" s="30" t="n"/>
      <c r="Z106" s="30" t="n"/>
    </row>
    <row r="107">
      <c r="L107" s="30" t="n"/>
      <c r="Y107" s="30" t="n"/>
      <c r="Z107" s="30" t="n"/>
    </row>
    <row r="108">
      <c r="L108" s="30" t="n"/>
      <c r="Y108" s="30" t="n"/>
      <c r="Z108" s="30" t="n"/>
    </row>
    <row r="109">
      <c r="L109" s="30" t="n"/>
      <c r="Y109" s="30" t="n"/>
      <c r="Z109" s="30" t="n"/>
    </row>
    <row r="110">
      <c r="L110" s="30" t="n"/>
      <c r="Y110" s="30" t="n"/>
      <c r="Z110" s="30" t="n"/>
    </row>
    <row r="111">
      <c r="L111" s="30" t="n"/>
      <c r="Y111" s="30" t="n"/>
      <c r="Z111" s="30" t="n"/>
    </row>
    <row r="112">
      <c r="L112" s="30" t="n"/>
      <c r="Y112" s="30" t="n"/>
      <c r="Z112" s="30" t="n"/>
    </row>
    <row r="113">
      <c r="L113" s="30" t="n"/>
      <c r="Y113" s="30" t="n"/>
      <c r="Z113" s="30" t="n"/>
    </row>
    <row r="114">
      <c r="L114" s="30" t="n"/>
      <c r="Y114" s="30" t="n"/>
      <c r="Z114" s="30" t="n"/>
    </row>
    <row r="115">
      <c r="L115" s="30" t="n"/>
      <c r="Y115" s="30" t="n"/>
      <c r="Z115" s="30" t="n"/>
    </row>
    <row r="116">
      <c r="L116" s="30" t="n"/>
      <c r="Y116" s="30" t="n"/>
      <c r="Z116" s="30" t="n"/>
    </row>
    <row r="117">
      <c r="L117" s="30" t="n"/>
      <c r="Y117" s="30" t="n"/>
      <c r="Z117" s="30" t="n"/>
    </row>
    <row r="118">
      <c r="L118" s="30" t="n"/>
      <c r="Y118" s="30" t="n"/>
      <c r="Z118" s="30" t="n"/>
    </row>
    <row r="119">
      <c r="L119" s="30" t="n"/>
      <c r="Y119" s="30" t="n"/>
      <c r="Z119" s="30" t="n"/>
    </row>
    <row r="120">
      <c r="L120" s="30" t="n"/>
      <c r="Y120" s="30" t="n"/>
      <c r="Z120" s="30" t="n"/>
    </row>
    <row r="121">
      <c r="L121" s="30" t="n"/>
      <c r="Y121" s="30" t="n"/>
      <c r="Z121" s="30" t="n"/>
    </row>
    <row r="122">
      <c r="L122" s="30" t="n"/>
      <c r="Y122" s="30" t="n"/>
      <c r="Z122" s="30" t="n"/>
    </row>
    <row r="123">
      <c r="L123" s="30" t="n"/>
      <c r="Y123" s="30" t="n"/>
      <c r="Z123" s="30" t="n"/>
    </row>
    <row r="124">
      <c r="L124" s="30" t="n"/>
      <c r="Y124" s="30" t="n"/>
      <c r="Z124" s="30" t="n"/>
    </row>
    <row r="125">
      <c r="L125" s="30" t="n"/>
      <c r="Y125" s="30" t="n"/>
      <c r="Z125" s="30" t="n"/>
    </row>
    <row r="126">
      <c r="L126" s="30" t="n"/>
      <c r="Y126" s="30" t="n"/>
      <c r="Z126" s="30" t="n"/>
    </row>
    <row r="127">
      <c r="L127" s="30" t="n"/>
      <c r="Y127" s="30" t="n"/>
      <c r="Z127" s="30" t="n"/>
    </row>
    <row r="128">
      <c r="L128" s="30" t="n"/>
      <c r="Y128" s="30" t="n"/>
      <c r="Z128" s="30" t="n"/>
    </row>
    <row r="129">
      <c r="L129" s="30" t="n"/>
      <c r="Y129" s="30" t="n"/>
      <c r="Z129" s="30" t="n"/>
    </row>
    <row r="130">
      <c r="L130" s="30" t="n"/>
      <c r="Y130" s="30" t="n"/>
      <c r="Z130" s="30" t="n"/>
    </row>
    <row r="131">
      <c r="L131" s="30" t="n"/>
      <c r="Y131" s="30" t="n"/>
      <c r="Z131" s="30" t="n"/>
    </row>
    <row r="132">
      <c r="L132" s="30" t="n"/>
      <c r="Y132" s="30" t="n"/>
      <c r="Z132" s="30" t="n"/>
    </row>
    <row r="133">
      <c r="L133" s="30" t="n"/>
      <c r="Y133" s="30" t="n"/>
      <c r="Z133" s="30" t="n"/>
    </row>
    <row r="134">
      <c r="L134" s="30" t="n"/>
      <c r="Y134" s="30" t="n"/>
      <c r="Z134" s="30" t="n"/>
    </row>
    <row r="135">
      <c r="L135" s="30" t="n"/>
      <c r="Y135" s="30" t="n"/>
      <c r="Z135" s="30" t="n"/>
    </row>
    <row r="136">
      <c r="L136" s="30" t="n"/>
      <c r="Y136" s="30" t="n"/>
      <c r="Z136" s="30" t="n"/>
    </row>
    <row r="137">
      <c r="L137" s="30" t="n"/>
      <c r="Y137" s="30" t="n"/>
      <c r="Z137" s="30" t="n"/>
    </row>
    <row r="138">
      <c r="L138" s="30" t="n"/>
      <c r="Y138" s="30" t="n"/>
      <c r="Z138" s="30" t="n"/>
    </row>
    <row r="139">
      <c r="L139" s="30" t="n"/>
      <c r="Y139" s="30" t="n"/>
      <c r="Z139" s="30" t="n"/>
    </row>
    <row r="140">
      <c r="L140" s="30" t="n"/>
      <c r="Y140" s="30" t="n"/>
      <c r="Z140" s="30" t="n"/>
    </row>
    <row r="141">
      <c r="L141" s="30" t="n"/>
      <c r="Y141" s="30" t="n"/>
      <c r="Z141" s="30" t="n"/>
    </row>
    <row r="142">
      <c r="L142" s="30" t="n"/>
      <c r="Y142" s="30" t="n"/>
      <c r="Z142" s="30" t="n"/>
    </row>
    <row r="143">
      <c r="L143" s="30" t="n"/>
      <c r="Y143" s="30" t="n"/>
      <c r="Z143" s="30" t="n"/>
    </row>
    <row r="144">
      <c r="L144" s="30" t="n"/>
      <c r="Y144" s="30" t="n"/>
      <c r="Z144" s="30" t="n"/>
    </row>
    <row r="145">
      <c r="L145" s="30" t="n"/>
      <c r="Y145" s="30" t="n"/>
      <c r="Z145" s="30" t="n"/>
    </row>
    <row r="146">
      <c r="L146" s="30" t="n"/>
      <c r="Y146" s="30" t="n"/>
      <c r="Z146" s="30" t="n"/>
    </row>
    <row r="147">
      <c r="L147" s="30" t="n"/>
      <c r="Y147" s="30" t="n"/>
      <c r="Z147" s="30" t="n"/>
    </row>
    <row r="148">
      <c r="L148" s="30" t="n"/>
      <c r="Y148" s="30" t="n"/>
      <c r="Z148" s="30" t="n"/>
    </row>
    <row r="149">
      <c r="L149" s="30" t="n"/>
      <c r="Y149" s="30" t="n"/>
      <c r="Z149" s="30" t="n"/>
    </row>
    <row r="150">
      <c r="L150" s="30" t="n"/>
      <c r="Y150" s="30" t="n"/>
      <c r="Z150" s="30" t="n"/>
    </row>
    <row r="151">
      <c r="L151" s="30" t="n"/>
      <c r="Y151" s="30" t="n"/>
      <c r="Z151" s="30" t="n"/>
    </row>
    <row r="152">
      <c r="L152" s="30" t="n"/>
      <c r="Y152" s="30" t="n"/>
      <c r="Z152" s="30" t="n"/>
    </row>
    <row r="153">
      <c r="L153" s="30" t="n"/>
      <c r="Y153" s="30" t="n"/>
      <c r="Z153" s="30" t="n"/>
    </row>
    <row r="154">
      <c r="L154" s="30" t="n"/>
      <c r="Y154" s="30" t="n"/>
      <c r="Z154" s="30" t="n"/>
    </row>
    <row r="155">
      <c r="L155" s="30" t="n"/>
      <c r="Y155" s="30" t="n"/>
      <c r="Z155" s="30" t="n"/>
    </row>
    <row r="156">
      <c r="L156" s="30" t="n"/>
      <c r="Y156" s="30" t="n"/>
      <c r="Z156" s="30" t="n"/>
    </row>
    <row r="157">
      <c r="L157" s="30" t="n"/>
      <c r="Y157" s="30" t="n"/>
      <c r="Z157" s="30" t="n"/>
    </row>
    <row r="158">
      <c r="L158" s="30" t="n"/>
      <c r="Y158" s="30" t="n"/>
      <c r="Z158" s="30" t="n"/>
    </row>
    <row r="159">
      <c r="L159" s="30" t="n"/>
      <c r="Y159" s="30" t="n"/>
      <c r="Z159" s="30" t="n"/>
    </row>
    <row r="160">
      <c r="L160" s="30" t="n"/>
      <c r="Y160" s="30" t="n"/>
      <c r="Z160" s="30" t="n"/>
    </row>
    <row r="161">
      <c r="L161" s="30" t="n"/>
      <c r="Y161" s="30" t="n"/>
      <c r="Z161" s="30" t="n"/>
    </row>
    <row r="162">
      <c r="L162" s="30" t="n"/>
      <c r="Y162" s="30" t="n"/>
      <c r="Z162" s="30" t="n"/>
    </row>
    <row r="163">
      <c r="L163" s="30" t="n"/>
      <c r="Y163" s="30" t="n"/>
      <c r="Z163" s="30" t="n"/>
    </row>
    <row r="164">
      <c r="L164" s="30" t="n"/>
      <c r="Y164" s="30" t="n"/>
      <c r="Z164" s="30" t="n"/>
    </row>
    <row r="165">
      <c r="L165" s="30" t="n"/>
      <c r="Y165" s="30" t="n"/>
      <c r="Z165" s="30" t="n"/>
    </row>
    <row r="166">
      <c r="L166" s="30" t="n"/>
      <c r="Y166" s="30" t="n"/>
      <c r="Z166" s="30" t="n"/>
    </row>
    <row r="167">
      <c r="L167" s="30" t="n"/>
      <c r="Y167" s="30" t="n"/>
      <c r="Z167" s="30" t="n"/>
    </row>
    <row r="168">
      <c r="L168" s="30" t="n"/>
      <c r="Y168" s="30" t="n"/>
      <c r="Z168" s="30" t="n"/>
    </row>
    <row r="169">
      <c r="L169" s="30" t="n"/>
      <c r="Y169" s="30" t="n"/>
      <c r="Z169" s="30" t="n"/>
    </row>
    <row r="170">
      <c r="L170" s="30" t="n"/>
      <c r="Y170" s="30" t="n"/>
      <c r="Z170" s="30" t="n"/>
    </row>
    <row r="171">
      <c r="L171" s="30" t="n"/>
      <c r="Y171" s="30" t="n"/>
      <c r="Z171" s="30" t="n"/>
    </row>
    <row r="172">
      <c r="L172" s="30" t="n"/>
      <c r="Y172" s="30" t="n"/>
      <c r="Z172" s="30" t="n"/>
    </row>
    <row r="173">
      <c r="L173" s="30" t="n"/>
      <c r="Y173" s="30" t="n"/>
      <c r="Z173" s="30" t="n"/>
    </row>
    <row r="174">
      <c r="L174" s="30" t="n"/>
      <c r="Y174" s="30" t="n"/>
      <c r="Z174" s="30" t="n"/>
    </row>
    <row r="175">
      <c r="L175" s="30" t="n"/>
      <c r="Y175" s="30" t="n"/>
      <c r="Z175" s="30" t="n"/>
    </row>
    <row r="176">
      <c r="L176" s="30" t="n"/>
      <c r="Y176" s="30" t="n"/>
      <c r="Z176" s="30" t="n"/>
    </row>
    <row r="177">
      <c r="L177" s="30" t="n"/>
      <c r="Y177" s="30" t="n"/>
      <c r="Z177" s="30" t="n"/>
    </row>
    <row r="178">
      <c r="L178" s="30" t="n"/>
      <c r="Y178" s="30" t="n"/>
      <c r="Z178" s="30" t="n"/>
    </row>
    <row r="179">
      <c r="L179" s="30" t="n"/>
      <c r="Y179" s="30" t="n"/>
      <c r="Z179" s="30" t="n"/>
    </row>
    <row r="180">
      <c r="L180" s="30" t="n"/>
      <c r="Y180" s="30" t="n"/>
      <c r="Z180" s="30" t="n"/>
    </row>
    <row r="181">
      <c r="L181" s="30" t="n"/>
      <c r="Y181" s="30" t="n"/>
      <c r="Z181" s="30" t="n"/>
    </row>
    <row r="182">
      <c r="L182" s="30" t="n"/>
      <c r="Y182" s="30" t="n"/>
      <c r="Z182" s="30" t="n"/>
    </row>
    <row r="183">
      <c r="L183" s="30" t="n"/>
      <c r="Y183" s="30" t="n"/>
      <c r="Z183" s="30" t="n"/>
    </row>
    <row r="184">
      <c r="L184" s="30" t="n"/>
      <c r="Y184" s="30" t="n"/>
      <c r="Z184" s="30" t="n"/>
    </row>
    <row r="185">
      <c r="L185" s="30" t="n"/>
      <c r="Y185" s="30" t="n"/>
      <c r="Z185" s="30" t="n"/>
    </row>
    <row r="186">
      <c r="L186" s="30" t="n"/>
      <c r="Y186" s="30" t="n"/>
      <c r="Z186" s="30" t="n"/>
    </row>
    <row r="187">
      <c r="L187" s="30" t="n"/>
      <c r="Y187" s="30" t="n"/>
      <c r="Z187" s="30" t="n"/>
    </row>
    <row r="188">
      <c r="L188" s="30" t="n"/>
      <c r="Y188" s="30" t="n"/>
      <c r="Z188" s="30" t="n"/>
    </row>
    <row r="189">
      <c r="L189" s="30" t="n"/>
      <c r="Y189" s="30" t="n"/>
      <c r="Z189" s="30" t="n"/>
    </row>
    <row r="190">
      <c r="L190" s="30" t="n"/>
      <c r="Y190" s="30" t="n"/>
      <c r="Z190" s="30" t="n"/>
    </row>
    <row r="191">
      <c r="L191" s="30" t="n"/>
      <c r="Y191" s="30" t="n"/>
      <c r="Z191" s="30" t="n"/>
    </row>
    <row r="192">
      <c r="L192" s="30" t="n"/>
      <c r="Y192" s="30" t="n"/>
      <c r="Z192" s="30" t="n"/>
    </row>
    <row r="193">
      <c r="L193" s="30" t="n"/>
      <c r="Y193" s="30" t="n"/>
      <c r="Z193" s="30" t="n"/>
    </row>
    <row r="194">
      <c r="L194" s="30" t="n"/>
      <c r="Y194" s="30" t="n"/>
      <c r="Z194" s="30" t="n"/>
    </row>
    <row r="195">
      <c r="L195" s="30" t="n"/>
      <c r="Y195" s="30" t="n"/>
      <c r="Z195" s="30" t="n"/>
    </row>
    <row r="196">
      <c r="L196" s="30" t="n"/>
      <c r="Y196" s="30" t="n"/>
      <c r="Z196" s="30" t="n"/>
    </row>
    <row r="197">
      <c r="L197" s="30" t="n"/>
      <c r="Y197" s="30" t="n"/>
      <c r="Z197" s="30" t="n"/>
    </row>
    <row r="198">
      <c r="L198" s="30" t="n"/>
      <c r="Y198" s="30" t="n"/>
      <c r="Z198" s="30" t="n"/>
    </row>
    <row r="199">
      <c r="L199" s="30" t="n"/>
      <c r="Y199" s="30" t="n"/>
      <c r="Z199" s="30" t="n"/>
    </row>
    <row r="200">
      <c r="L200" s="30" t="n"/>
      <c r="Y200" s="30" t="n"/>
      <c r="Z200" s="30" t="n"/>
    </row>
    <row r="201">
      <c r="L201" s="30" t="n"/>
      <c r="Y201" s="30" t="n"/>
      <c r="Z201" s="30" t="n"/>
    </row>
    <row r="202">
      <c r="L202" s="30" t="n"/>
      <c r="Y202" s="30" t="n"/>
      <c r="Z202" s="30" t="n"/>
    </row>
    <row r="203">
      <c r="L203" s="30" t="n"/>
      <c r="Y203" s="30" t="n"/>
      <c r="Z203" s="30" t="n"/>
    </row>
    <row r="204">
      <c r="L204" s="30" t="n"/>
      <c r="Y204" s="30" t="n"/>
      <c r="Z204" s="30" t="n"/>
    </row>
    <row r="205">
      <c r="L205" s="30" t="n"/>
      <c r="Y205" s="30" t="n"/>
      <c r="Z205" s="30" t="n"/>
    </row>
    <row r="206">
      <c r="L206" s="30" t="n"/>
      <c r="Y206" s="30" t="n"/>
      <c r="Z206" s="30" t="n"/>
    </row>
    <row r="207">
      <c r="L207" s="30" t="n"/>
      <c r="Y207" s="30" t="n"/>
      <c r="Z207" s="30" t="n"/>
    </row>
    <row r="208">
      <c r="L208" s="30" t="n"/>
      <c r="Y208" s="30" t="n"/>
      <c r="Z208" s="30" t="n"/>
    </row>
    <row r="209">
      <c r="L209" s="30" t="n"/>
      <c r="Y209" s="30" t="n"/>
      <c r="Z209" s="30" t="n"/>
    </row>
    <row r="210">
      <c r="L210" s="30" t="n"/>
      <c r="Y210" s="30" t="n"/>
      <c r="Z210" s="30" t="n"/>
    </row>
    <row r="211">
      <c r="L211" s="30" t="n"/>
      <c r="Y211" s="30" t="n"/>
      <c r="Z211" s="30" t="n"/>
    </row>
    <row r="212">
      <c r="L212" s="30" t="n"/>
      <c r="Y212" s="30" t="n"/>
      <c r="Z212" s="30" t="n"/>
    </row>
    <row r="213">
      <c r="L213" s="30" t="n"/>
      <c r="Y213" s="30" t="n"/>
      <c r="Z213" s="30" t="n"/>
    </row>
    <row r="214">
      <c r="L214" s="30" t="n"/>
      <c r="Y214" s="30" t="n"/>
      <c r="Z214" s="30" t="n"/>
    </row>
    <row r="215">
      <c r="L215" s="30" t="n"/>
      <c r="Y215" s="30" t="n"/>
      <c r="Z215" s="30" t="n"/>
    </row>
    <row r="216">
      <c r="L216" s="30" t="n"/>
      <c r="Y216" s="30" t="n"/>
      <c r="Z216" s="30" t="n"/>
    </row>
    <row r="217">
      <c r="L217" s="30" t="n"/>
      <c r="Y217" s="30" t="n"/>
      <c r="Z217" s="30" t="n"/>
    </row>
    <row r="218">
      <c r="L218" s="30" t="n"/>
      <c r="Y218" s="30" t="n"/>
      <c r="Z218" s="30" t="n"/>
    </row>
    <row r="219">
      <c r="L219" s="30" t="n"/>
      <c r="Y219" s="30" t="n"/>
      <c r="Z219" s="30" t="n"/>
    </row>
    <row r="220">
      <c r="L220" s="30" t="n"/>
      <c r="Y220" s="30" t="n"/>
      <c r="Z220" s="30" t="n"/>
    </row>
    <row r="221">
      <c r="L221" s="30" t="n"/>
      <c r="Y221" s="30" t="n"/>
      <c r="Z221" s="30" t="n"/>
    </row>
    <row r="222">
      <c r="L222" s="30" t="n"/>
      <c r="Y222" s="30" t="n"/>
      <c r="Z222" s="30" t="n"/>
    </row>
    <row r="223">
      <c r="L223" s="30" t="n"/>
      <c r="Y223" s="30" t="n"/>
      <c r="Z223" s="30" t="n"/>
    </row>
    <row r="224">
      <c r="L224" s="30" t="n"/>
      <c r="Y224" s="30" t="n"/>
      <c r="Z224" s="30" t="n"/>
    </row>
    <row r="225">
      <c r="L225" s="30" t="n"/>
      <c r="Y225" s="30" t="n"/>
      <c r="Z225" s="30" t="n"/>
    </row>
    <row r="226">
      <c r="L226" s="30" t="n"/>
      <c r="Y226" s="30" t="n"/>
      <c r="Z226" s="30" t="n"/>
    </row>
    <row r="227">
      <c r="L227" s="30" t="n"/>
      <c r="Y227" s="30" t="n"/>
      <c r="Z227" s="30" t="n"/>
    </row>
    <row r="228">
      <c r="L228" s="30" t="n"/>
      <c r="Y228" s="30" t="n"/>
      <c r="Z228" s="30" t="n"/>
    </row>
    <row r="229">
      <c r="L229" s="30" t="n"/>
      <c r="Y229" s="30" t="n"/>
      <c r="Z229" s="30" t="n"/>
    </row>
    <row r="230">
      <c r="L230" s="30" t="n"/>
      <c r="Y230" s="30" t="n"/>
      <c r="Z230" s="30" t="n"/>
    </row>
    <row r="231">
      <c r="L231" s="30" t="n"/>
      <c r="Y231" s="30" t="n"/>
      <c r="Z231" s="30" t="n"/>
    </row>
    <row r="232">
      <c r="L232" s="30" t="n"/>
      <c r="Y232" s="30" t="n"/>
      <c r="Z232" s="30" t="n"/>
    </row>
    <row r="233">
      <c r="L233" s="30" t="n"/>
      <c r="Y233" s="30" t="n"/>
      <c r="Z233" s="30" t="n"/>
    </row>
    <row r="234">
      <c r="L234" s="30" t="n"/>
      <c r="Y234" s="30" t="n"/>
      <c r="Z234" s="30" t="n"/>
    </row>
    <row r="235">
      <c r="L235" s="30" t="n"/>
      <c r="Y235" s="30" t="n"/>
      <c r="Z235" s="30" t="n"/>
    </row>
    <row r="236">
      <c r="L236" s="30" t="n"/>
      <c r="Y236" s="30" t="n"/>
      <c r="Z236" s="30" t="n"/>
    </row>
    <row r="237">
      <c r="L237" s="30" t="n"/>
      <c r="Y237" s="30" t="n"/>
      <c r="Z237" s="30" t="n"/>
    </row>
    <row r="238">
      <c r="L238" s="30" t="n"/>
      <c r="Y238" s="30" t="n"/>
      <c r="Z238" s="30" t="n"/>
    </row>
    <row r="239">
      <c r="L239" s="30" t="n"/>
      <c r="Y239" s="30" t="n"/>
      <c r="Z239" s="30" t="n"/>
    </row>
    <row r="240">
      <c r="L240" s="30" t="n"/>
      <c r="Y240" s="30" t="n"/>
      <c r="Z240" s="30" t="n"/>
    </row>
    <row r="241">
      <c r="L241" s="30" t="n"/>
      <c r="Y241" s="30" t="n"/>
      <c r="Z241" s="30" t="n"/>
    </row>
    <row r="242">
      <c r="L242" s="30" t="n"/>
      <c r="Y242" s="30" t="n"/>
      <c r="Z242" s="30" t="n"/>
    </row>
    <row r="243">
      <c r="L243" s="30" t="n"/>
      <c r="Y243" s="30" t="n"/>
      <c r="Z243" s="30" t="n"/>
    </row>
    <row r="244">
      <c r="L244" s="30" t="n"/>
      <c r="Y244" s="30" t="n"/>
      <c r="Z244" s="30" t="n"/>
    </row>
    <row r="245">
      <c r="L245" s="30" t="n"/>
      <c r="Y245" s="30" t="n"/>
      <c r="Z245" s="30" t="n"/>
    </row>
    <row r="246">
      <c r="L246" s="30" t="n"/>
      <c r="Y246" s="30" t="n"/>
      <c r="Z246" s="30" t="n"/>
    </row>
    <row r="247">
      <c r="L247" s="30" t="n"/>
      <c r="Y247" s="30" t="n"/>
      <c r="Z247" s="30" t="n"/>
    </row>
    <row r="248">
      <c r="L248" s="30" t="n"/>
      <c r="Y248" s="30" t="n"/>
      <c r="Z248" s="30" t="n"/>
    </row>
    <row r="249">
      <c r="L249" s="30" t="n"/>
      <c r="Y249" s="30" t="n"/>
      <c r="Z249" s="30" t="n"/>
    </row>
    <row r="250">
      <c r="L250" s="30" t="n"/>
      <c r="Y250" s="30" t="n"/>
      <c r="Z250" s="30" t="n"/>
    </row>
    <row r="251">
      <c r="L251" s="30" t="n"/>
      <c r="Y251" s="30" t="n"/>
      <c r="Z251" s="30" t="n"/>
    </row>
    <row r="252">
      <c r="L252" s="30" t="n"/>
      <c r="Y252" s="30" t="n"/>
      <c r="Z252" s="30" t="n"/>
    </row>
    <row r="253">
      <c r="L253" s="30" t="n"/>
      <c r="Y253" s="30" t="n"/>
      <c r="Z253" s="30" t="n"/>
    </row>
    <row r="254">
      <c r="L254" s="30" t="n"/>
      <c r="Y254" s="30" t="n"/>
      <c r="Z254" s="30" t="n"/>
    </row>
    <row r="255">
      <c r="L255" s="30" t="n"/>
      <c r="Y255" s="30" t="n"/>
      <c r="Z255" s="30" t="n"/>
    </row>
    <row r="256">
      <c r="L256" s="30" t="n"/>
      <c r="Y256" s="30" t="n"/>
      <c r="Z256" s="30" t="n"/>
    </row>
    <row r="257">
      <c r="L257" s="30" t="n"/>
      <c r="Y257" s="30" t="n"/>
      <c r="Z257" s="30" t="n"/>
    </row>
    <row r="258">
      <c r="L258" s="30" t="n"/>
      <c r="Y258" s="30" t="n"/>
      <c r="Z258" s="30" t="n"/>
    </row>
    <row r="259">
      <c r="L259" s="30" t="n"/>
      <c r="Y259" s="30" t="n"/>
      <c r="Z259" s="30" t="n"/>
    </row>
    <row r="260">
      <c r="L260" s="30" t="n"/>
      <c r="Y260" s="30" t="n"/>
      <c r="Z260" s="30" t="n"/>
    </row>
    <row r="261">
      <c r="L261" s="30" t="n"/>
      <c r="Y261" s="30" t="n"/>
      <c r="Z261" s="30" t="n"/>
    </row>
    <row r="262">
      <c r="L262" s="30" t="n"/>
      <c r="Y262" s="30" t="n"/>
      <c r="Z262" s="30" t="n"/>
    </row>
    <row r="263">
      <c r="L263" s="30" t="n"/>
      <c r="Y263" s="30" t="n"/>
      <c r="Z263" s="30" t="n"/>
    </row>
    <row r="264">
      <c r="L264" s="30" t="n"/>
      <c r="Y264" s="30" t="n"/>
      <c r="Z264" s="30" t="n"/>
    </row>
    <row r="265">
      <c r="L265" s="30" t="n"/>
      <c r="Y265" s="30" t="n"/>
      <c r="Z265" s="30" t="n"/>
    </row>
    <row r="266">
      <c r="L266" s="30" t="n"/>
      <c r="Y266" s="30" t="n"/>
      <c r="Z266" s="30" t="n"/>
    </row>
    <row r="267">
      <c r="L267" s="30" t="n"/>
      <c r="Y267" s="30" t="n"/>
      <c r="Z267" s="30" t="n"/>
    </row>
    <row r="268">
      <c r="L268" s="30" t="n"/>
      <c r="Y268" s="30" t="n"/>
      <c r="Z268" s="30" t="n"/>
    </row>
    <row r="269">
      <c r="L269" s="30" t="n"/>
      <c r="Y269" s="30" t="n"/>
      <c r="Z269" s="30" t="n"/>
    </row>
    <row r="270">
      <c r="L270" s="30" t="n"/>
      <c r="Y270" s="30" t="n"/>
      <c r="Z270" s="30" t="n"/>
    </row>
    <row r="271">
      <c r="L271" s="30" t="n"/>
      <c r="Y271" s="30" t="n"/>
      <c r="Z271" s="30" t="n"/>
    </row>
    <row r="272">
      <c r="L272" s="30" t="n"/>
      <c r="Y272" s="30" t="n"/>
      <c r="Z272" s="30" t="n"/>
    </row>
    <row r="273">
      <c r="L273" s="30" t="n"/>
      <c r="Y273" s="30" t="n"/>
      <c r="Z273" s="30" t="n"/>
    </row>
    <row r="274">
      <c r="L274" s="30" t="n"/>
      <c r="Y274" s="30" t="n"/>
      <c r="Z274" s="30" t="n"/>
    </row>
    <row r="275">
      <c r="L275" s="30" t="n"/>
      <c r="Y275" s="30" t="n"/>
      <c r="Z275" s="30" t="n"/>
    </row>
    <row r="276">
      <c r="L276" s="30" t="n"/>
      <c r="Y276" s="30" t="n"/>
      <c r="Z276" s="30" t="n"/>
    </row>
    <row r="277">
      <c r="L277" s="30" t="n"/>
      <c r="Y277" s="30" t="n"/>
      <c r="Z277" s="30" t="n"/>
    </row>
    <row r="278">
      <c r="L278" s="30" t="n"/>
      <c r="Y278" s="30" t="n"/>
      <c r="Z278" s="30" t="n"/>
    </row>
    <row r="279">
      <c r="L279" s="30" t="n"/>
      <c r="Y279" s="30" t="n"/>
      <c r="Z279" s="30" t="n"/>
    </row>
    <row r="280">
      <c r="L280" s="30" t="n"/>
      <c r="Y280" s="30" t="n"/>
      <c r="Z280" s="30" t="n"/>
    </row>
    <row r="281">
      <c r="L281" s="30" t="n"/>
      <c r="Y281" s="30" t="n"/>
      <c r="Z281" s="30" t="n"/>
    </row>
    <row r="282">
      <c r="L282" s="30" t="n"/>
      <c r="Y282" s="30" t="n"/>
      <c r="Z282" s="30" t="n"/>
    </row>
    <row r="283">
      <c r="L283" s="30" t="n"/>
      <c r="Y283" s="30" t="n"/>
      <c r="Z283" s="30" t="n"/>
    </row>
    <row r="284">
      <c r="L284" s="30" t="n"/>
      <c r="Y284" s="30" t="n"/>
      <c r="Z284" s="30" t="n"/>
    </row>
    <row r="285">
      <c r="L285" s="30" t="n"/>
      <c r="Y285" s="30" t="n"/>
      <c r="Z285" s="30" t="n"/>
    </row>
    <row r="286">
      <c r="L286" s="30" t="n"/>
      <c r="Y286" s="30" t="n"/>
      <c r="Z286" s="30" t="n"/>
    </row>
    <row r="287">
      <c r="L287" s="30" t="n"/>
      <c r="Y287" s="30" t="n"/>
      <c r="Z287" s="30" t="n"/>
    </row>
    <row r="288">
      <c r="L288" s="30" t="n"/>
      <c r="Y288" s="30" t="n"/>
      <c r="Z288" s="30" t="n"/>
    </row>
    <row r="289">
      <c r="L289" s="30" t="n"/>
      <c r="Y289" s="30" t="n"/>
      <c r="Z289" s="30" t="n"/>
    </row>
    <row r="290">
      <c r="L290" s="30" t="n"/>
      <c r="Y290" s="30" t="n"/>
      <c r="Z290" s="30" t="n"/>
    </row>
    <row r="291">
      <c r="L291" s="30" t="n"/>
      <c r="Y291" s="30" t="n"/>
      <c r="Z291" s="30" t="n"/>
    </row>
    <row r="292">
      <c r="L292" s="30" t="n"/>
      <c r="Y292" s="30" t="n"/>
      <c r="Z292" s="30" t="n"/>
    </row>
    <row r="293">
      <c r="L293" s="30" t="n"/>
      <c r="Y293" s="30" t="n"/>
      <c r="Z293" s="30" t="n"/>
    </row>
    <row r="294">
      <c r="L294" s="30" t="n"/>
      <c r="Y294" s="30" t="n"/>
      <c r="Z294" s="30" t="n"/>
    </row>
    <row r="295">
      <c r="L295" s="30" t="n"/>
      <c r="Y295" s="30" t="n"/>
      <c r="Z295" s="30" t="n"/>
    </row>
    <row r="296">
      <c r="L296" s="30" t="n"/>
      <c r="Y296" s="30" t="n"/>
      <c r="Z296" s="30" t="n"/>
    </row>
    <row r="297">
      <c r="L297" s="30" t="n"/>
      <c r="Y297" s="30" t="n"/>
      <c r="Z297" s="30" t="n"/>
    </row>
    <row r="298">
      <c r="L298" s="30" t="n"/>
      <c r="Y298" s="30" t="n"/>
      <c r="Z298" s="30" t="n"/>
    </row>
    <row r="299">
      <c r="L299" s="30" t="n"/>
      <c r="Y299" s="30" t="n"/>
      <c r="Z299" s="30" t="n"/>
    </row>
    <row r="300">
      <c r="L300" s="30" t="n"/>
      <c r="Y300" s="30" t="n"/>
      <c r="Z300" s="30" t="n"/>
    </row>
    <row r="301">
      <c r="L301" s="30" t="n"/>
      <c r="Y301" s="30" t="n"/>
      <c r="Z301" s="30" t="n"/>
    </row>
    <row r="302">
      <c r="L302" s="30" t="n"/>
      <c r="Y302" s="30" t="n"/>
      <c r="Z302" s="30" t="n"/>
    </row>
    <row r="303">
      <c r="L303" s="30" t="n"/>
      <c r="Y303" s="30" t="n"/>
      <c r="Z303" s="30" t="n"/>
    </row>
    <row r="304">
      <c r="L304" s="30" t="n"/>
      <c r="Y304" s="30" t="n"/>
      <c r="Z304" s="30" t="n"/>
    </row>
    <row r="305">
      <c r="L305" s="30" t="n"/>
      <c r="Y305" s="30" t="n"/>
      <c r="Z305" s="30" t="n"/>
    </row>
    <row r="306">
      <c r="L306" s="30" t="n"/>
      <c r="Y306" s="30" t="n"/>
      <c r="Z306" s="30" t="n"/>
    </row>
    <row r="307">
      <c r="L307" s="30" t="n"/>
      <c r="Y307" s="30" t="n"/>
      <c r="Z307" s="30" t="n"/>
    </row>
    <row r="308">
      <c r="L308" s="30" t="n"/>
      <c r="Y308" s="30" t="n"/>
      <c r="Z308" s="30" t="n"/>
    </row>
    <row r="309">
      <c r="L309" s="30" t="n"/>
      <c r="Y309" s="30" t="n"/>
      <c r="Z309" s="30" t="n"/>
    </row>
    <row r="310">
      <c r="L310" s="30" t="n"/>
      <c r="Y310" s="30" t="n"/>
      <c r="Z310" s="30" t="n"/>
    </row>
    <row r="311">
      <c r="L311" s="30" t="n"/>
      <c r="Y311" s="30" t="n"/>
      <c r="Z311" s="30" t="n"/>
    </row>
    <row r="312">
      <c r="L312" s="30" t="n"/>
      <c r="Y312" s="30" t="n"/>
      <c r="Z312" s="30" t="n"/>
    </row>
    <row r="313">
      <c r="L313" s="30" t="n"/>
      <c r="Y313" s="30" t="n"/>
      <c r="Z313" s="30" t="n"/>
    </row>
    <row r="314">
      <c r="L314" s="30" t="n"/>
      <c r="Y314" s="30" t="n"/>
      <c r="Z314" s="30" t="n"/>
    </row>
    <row r="315">
      <c r="L315" s="30" t="n"/>
      <c r="Y315" s="30" t="n"/>
      <c r="Z315" s="30" t="n"/>
    </row>
    <row r="316">
      <c r="L316" s="30" t="n"/>
      <c r="Y316" s="30" t="n"/>
      <c r="Z316" s="30" t="n"/>
    </row>
    <row r="317">
      <c r="L317" s="30" t="n"/>
      <c r="Y317" s="30" t="n"/>
      <c r="Z317" s="30" t="n"/>
    </row>
    <row r="318">
      <c r="L318" s="30" t="n"/>
      <c r="Y318" s="30" t="n"/>
      <c r="Z318" s="30" t="n"/>
    </row>
    <row r="319">
      <c r="L319" s="30" t="n"/>
      <c r="Y319" s="30" t="n"/>
      <c r="Z319" s="30" t="n"/>
    </row>
    <row r="320">
      <c r="L320" s="30" t="n"/>
      <c r="Y320" s="30" t="n"/>
      <c r="Z320" s="30" t="n"/>
    </row>
    <row r="321">
      <c r="L321" s="30" t="n"/>
      <c r="Y321" s="30" t="n"/>
      <c r="Z321" s="30" t="n"/>
    </row>
    <row r="322">
      <c r="L322" s="30" t="n"/>
      <c r="Y322" s="30" t="n"/>
      <c r="Z322" s="30" t="n"/>
    </row>
    <row r="323">
      <c r="L323" s="30" t="n"/>
      <c r="Y323" s="30" t="n"/>
      <c r="Z323" s="30" t="n"/>
    </row>
    <row r="324">
      <c r="L324" s="30" t="n"/>
      <c r="Y324" s="30" t="n"/>
      <c r="Z324" s="30" t="n"/>
    </row>
    <row r="325">
      <c r="L325" s="30" t="n"/>
      <c r="Y325" s="30" t="n"/>
      <c r="Z325" s="30" t="n"/>
    </row>
    <row r="326">
      <c r="L326" s="30" t="n"/>
      <c r="Y326" s="30" t="n"/>
      <c r="Z326" s="30" t="n"/>
    </row>
    <row r="327">
      <c r="L327" s="30" t="n"/>
      <c r="Y327" s="30" t="n"/>
      <c r="Z327" s="30" t="n"/>
    </row>
    <row r="328">
      <c r="L328" s="30" t="n"/>
      <c r="Y328" s="30" t="n"/>
      <c r="Z328" s="30" t="n"/>
    </row>
    <row r="329">
      <c r="L329" s="30" t="n"/>
      <c r="Y329" s="30" t="n"/>
      <c r="Z329" s="30" t="n"/>
    </row>
    <row r="330">
      <c r="L330" s="30" t="n"/>
      <c r="Y330" s="30" t="n"/>
      <c r="Z330" s="30" t="n"/>
    </row>
    <row r="331">
      <c r="L331" s="30" t="n"/>
      <c r="Y331" s="30" t="n"/>
      <c r="Z331" s="30" t="n"/>
    </row>
    <row r="332">
      <c r="L332" s="30" t="n"/>
      <c r="Y332" s="30" t="n"/>
      <c r="Z332" s="30" t="n"/>
    </row>
    <row r="333">
      <c r="L333" s="30" t="n"/>
      <c r="Y333" s="30" t="n"/>
      <c r="Z333" s="30" t="n"/>
    </row>
    <row r="334">
      <c r="L334" s="30" t="n"/>
      <c r="Y334" s="30" t="n"/>
      <c r="Z334" s="30" t="n"/>
    </row>
    <row r="335">
      <c r="L335" s="30" t="n"/>
      <c r="Y335" s="30" t="n"/>
      <c r="Z335" s="30" t="n"/>
    </row>
    <row r="336">
      <c r="L336" s="30" t="n"/>
      <c r="Y336" s="30" t="n"/>
      <c r="Z336" s="30" t="n"/>
    </row>
    <row r="337">
      <c r="L337" s="30" t="n"/>
      <c r="Y337" s="30" t="n"/>
      <c r="Z337" s="30" t="n"/>
    </row>
    <row r="338">
      <c r="L338" s="30" t="n"/>
      <c r="Y338" s="30" t="n"/>
      <c r="Z338" s="30" t="n"/>
    </row>
    <row r="339">
      <c r="L339" s="30" t="n"/>
      <c r="Y339" s="30" t="n"/>
      <c r="Z339" s="30" t="n"/>
    </row>
    <row r="340">
      <c r="L340" s="30" t="n"/>
      <c r="Y340" s="30" t="n"/>
      <c r="Z340" s="30" t="n"/>
    </row>
    <row r="341">
      <c r="L341" s="30" t="n"/>
      <c r="Y341" s="30" t="n"/>
      <c r="Z341" s="30" t="n"/>
    </row>
    <row r="342">
      <c r="L342" s="30" t="n"/>
      <c r="Y342" s="30" t="n"/>
      <c r="Z342" s="30" t="n"/>
    </row>
    <row r="343">
      <c r="L343" s="30" t="n"/>
      <c r="Y343" s="30" t="n"/>
      <c r="Z343" s="30" t="n"/>
    </row>
    <row r="344">
      <c r="L344" s="30" t="n"/>
      <c r="Y344" s="30" t="n"/>
      <c r="Z344" s="30" t="n"/>
    </row>
    <row r="345">
      <c r="L345" s="30" t="n"/>
      <c r="Y345" s="30" t="n"/>
      <c r="Z345" s="30" t="n"/>
    </row>
    <row r="346">
      <c r="L346" s="30" t="n"/>
      <c r="Y346" s="30" t="n"/>
      <c r="Z346" s="30" t="n"/>
    </row>
    <row r="347">
      <c r="L347" s="30" t="n"/>
      <c r="Y347" s="30" t="n"/>
      <c r="Z347" s="30" t="n"/>
    </row>
    <row r="348">
      <c r="L348" s="30" t="n"/>
      <c r="Y348" s="30" t="n"/>
      <c r="Z348" s="30" t="n"/>
    </row>
    <row r="349">
      <c r="L349" s="30" t="n"/>
      <c r="Y349" s="30" t="n"/>
      <c r="Z349" s="30" t="n"/>
    </row>
    <row r="350">
      <c r="L350" s="30" t="n"/>
      <c r="Y350" s="30" t="n"/>
      <c r="Z350" s="30" t="n"/>
    </row>
    <row r="351">
      <c r="L351" s="30" t="n"/>
      <c r="Y351" s="30" t="n"/>
      <c r="Z351" s="30" t="n"/>
    </row>
    <row r="352">
      <c r="L352" s="30" t="n"/>
      <c r="Y352" s="30" t="n"/>
      <c r="Z352" s="30" t="n"/>
    </row>
    <row r="353">
      <c r="L353" s="30" t="n"/>
      <c r="Y353" s="30" t="n"/>
      <c r="Z353" s="30" t="n"/>
    </row>
    <row r="354">
      <c r="L354" s="30" t="n"/>
      <c r="Y354" s="30" t="n"/>
      <c r="Z354" s="30" t="n"/>
    </row>
    <row r="355">
      <c r="L355" s="30" t="n"/>
      <c r="Y355" s="30" t="n"/>
      <c r="Z355" s="30" t="n"/>
    </row>
    <row r="356">
      <c r="L356" s="30" t="n"/>
      <c r="Y356" s="30" t="n"/>
      <c r="Z356" s="30" t="n"/>
    </row>
    <row r="357">
      <c r="L357" s="30" t="n"/>
      <c r="Y357" s="30" t="n"/>
      <c r="Z357" s="30" t="n"/>
    </row>
    <row r="358">
      <c r="L358" s="30" t="n"/>
      <c r="Y358" s="30" t="n"/>
      <c r="Z358" s="30" t="n"/>
    </row>
    <row r="359">
      <c r="L359" s="30" t="n"/>
      <c r="Y359" s="30" t="n"/>
      <c r="Z359" s="30" t="n"/>
    </row>
    <row r="360">
      <c r="L360" s="30" t="n"/>
      <c r="Y360" s="30" t="n"/>
      <c r="Z360" s="30" t="n"/>
    </row>
    <row r="361">
      <c r="L361" s="30" t="n"/>
      <c r="Y361" s="30" t="n"/>
      <c r="Z361" s="30" t="n"/>
    </row>
    <row r="362">
      <c r="L362" s="30" t="n"/>
      <c r="Y362" s="30" t="n"/>
      <c r="Z362" s="30" t="n"/>
    </row>
    <row r="363">
      <c r="L363" s="30" t="n"/>
      <c r="Y363" s="30" t="n"/>
      <c r="Z363" s="30" t="n"/>
    </row>
    <row r="364">
      <c r="L364" s="30" t="n"/>
      <c r="Y364" s="30" t="n"/>
      <c r="Z364" s="30" t="n"/>
    </row>
    <row r="365">
      <c r="L365" s="30" t="n"/>
      <c r="Y365" s="30" t="n"/>
      <c r="Z365" s="30" t="n"/>
    </row>
    <row r="366">
      <c r="L366" s="30" t="n"/>
      <c r="Y366" s="30" t="n"/>
      <c r="Z366" s="30" t="n"/>
    </row>
    <row r="367">
      <c r="L367" s="30" t="n"/>
      <c r="Y367" s="30" t="n"/>
      <c r="Z367" s="30" t="n"/>
    </row>
    <row r="368">
      <c r="L368" s="30" t="n"/>
      <c r="Y368" s="30" t="n"/>
      <c r="Z368" s="30" t="n"/>
    </row>
    <row r="369">
      <c r="L369" s="30" t="n"/>
      <c r="Y369" s="30" t="n"/>
      <c r="Z369" s="30" t="n"/>
    </row>
    <row r="370">
      <c r="L370" s="30" t="n"/>
      <c r="Y370" s="30" t="n"/>
      <c r="Z370" s="30" t="n"/>
    </row>
    <row r="371">
      <c r="L371" s="30" t="n"/>
      <c r="Y371" s="30" t="n"/>
      <c r="Z371" s="30" t="n"/>
    </row>
    <row r="372">
      <c r="L372" s="30" t="n"/>
      <c r="Y372" s="30" t="n"/>
      <c r="Z372" s="30" t="n"/>
    </row>
    <row r="373">
      <c r="L373" s="30" t="n"/>
      <c r="Y373" s="30" t="n"/>
      <c r="Z373" s="30" t="n"/>
    </row>
    <row r="374">
      <c r="L374" s="30" t="n"/>
      <c r="Y374" s="30" t="n"/>
      <c r="Z374" s="30" t="n"/>
    </row>
    <row r="375">
      <c r="L375" s="30" t="n"/>
      <c r="Y375" s="30" t="n"/>
      <c r="Z375" s="30" t="n"/>
    </row>
    <row r="376">
      <c r="L376" s="30" t="n"/>
      <c r="Y376" s="30" t="n"/>
      <c r="Z376" s="30" t="n"/>
    </row>
    <row r="377">
      <c r="L377" s="30" t="n"/>
      <c r="Y377" s="30" t="n"/>
      <c r="Z377" s="30" t="n"/>
    </row>
    <row r="378">
      <c r="L378" s="30" t="n"/>
      <c r="Y378" s="30" t="n"/>
      <c r="Z378" s="30" t="n"/>
    </row>
    <row r="379">
      <c r="L379" s="30" t="n"/>
      <c r="Y379" s="30" t="n"/>
      <c r="Z379" s="30" t="n"/>
    </row>
    <row r="380">
      <c r="L380" s="30" t="n"/>
      <c r="Y380" s="30" t="n"/>
      <c r="Z380" s="30" t="n"/>
    </row>
    <row r="381">
      <c r="L381" s="30" t="n"/>
      <c r="Y381" s="30" t="n"/>
      <c r="Z381" s="30" t="n"/>
    </row>
    <row r="382">
      <c r="L382" s="30" t="n"/>
      <c r="Y382" s="30" t="n"/>
      <c r="Z382" s="30" t="n"/>
    </row>
    <row r="383">
      <c r="L383" s="30" t="n"/>
      <c r="Y383" s="30" t="n"/>
      <c r="Z383" s="30" t="n"/>
    </row>
    <row r="384">
      <c r="L384" s="30" t="n"/>
      <c r="Y384" s="30" t="n"/>
      <c r="Z384" s="30" t="n"/>
    </row>
    <row r="385">
      <c r="L385" s="30" t="n"/>
      <c r="Y385" s="30" t="n"/>
      <c r="Z385" s="30" t="n"/>
    </row>
    <row r="386">
      <c r="L386" s="30" t="n"/>
      <c r="Y386" s="30" t="n"/>
      <c r="Z386" s="30" t="n"/>
    </row>
    <row r="387">
      <c r="L387" s="30" t="n"/>
      <c r="Y387" s="30" t="n"/>
      <c r="Z387" s="30" t="n"/>
    </row>
    <row r="388">
      <c r="L388" s="30" t="n"/>
      <c r="Y388" s="30" t="n"/>
      <c r="Z388" s="30" t="n"/>
    </row>
    <row r="389">
      <c r="L389" s="30" t="n"/>
      <c r="Y389" s="30" t="n"/>
      <c r="Z389" s="30" t="n"/>
    </row>
    <row r="390">
      <c r="L390" s="30" t="n"/>
      <c r="Y390" s="30" t="n"/>
      <c r="Z390" s="30" t="n"/>
    </row>
    <row r="391">
      <c r="L391" s="30" t="n"/>
      <c r="Y391" s="30" t="n"/>
      <c r="Z391" s="30" t="n"/>
    </row>
    <row r="392">
      <c r="L392" s="30" t="n"/>
      <c r="Y392" s="30" t="n"/>
      <c r="Z392" s="30" t="n"/>
    </row>
    <row r="393">
      <c r="L393" s="30" t="n"/>
      <c r="Y393" s="30" t="n"/>
      <c r="Z393" s="30" t="n"/>
    </row>
    <row r="394">
      <c r="L394" s="30" t="n"/>
      <c r="Y394" s="30" t="n"/>
      <c r="Z394" s="30" t="n"/>
    </row>
    <row r="395">
      <c r="L395" s="30" t="n"/>
      <c r="Y395" s="30" t="n"/>
      <c r="Z395" s="30" t="n"/>
    </row>
    <row r="396">
      <c r="L396" s="30" t="n"/>
      <c r="Y396" s="30" t="n"/>
      <c r="Z396" s="30" t="n"/>
    </row>
    <row r="397">
      <c r="L397" s="30" t="n"/>
      <c r="Y397" s="30" t="n"/>
      <c r="Z397" s="30" t="n"/>
    </row>
    <row r="398">
      <c r="L398" s="30" t="n"/>
      <c r="Y398" s="30" t="n"/>
      <c r="Z398" s="30" t="n"/>
    </row>
    <row r="399">
      <c r="L399" s="30" t="n"/>
      <c r="Y399" s="30" t="n"/>
      <c r="Z399" s="30" t="n"/>
    </row>
    <row r="400">
      <c r="L400" s="30" t="n"/>
      <c r="Y400" s="30" t="n"/>
      <c r="Z400" s="30" t="n"/>
    </row>
    <row r="401">
      <c r="L401" s="30" t="n"/>
      <c r="Y401" s="30" t="n"/>
      <c r="Z401" s="30" t="n"/>
    </row>
    <row r="402">
      <c r="L402" s="30" t="n"/>
      <c r="Y402" s="30" t="n"/>
      <c r="Z402" s="30" t="n"/>
    </row>
    <row r="403">
      <c r="L403" s="30" t="n"/>
      <c r="Y403" s="30" t="n"/>
      <c r="Z403" s="30" t="n"/>
    </row>
    <row r="404">
      <c r="L404" s="30" t="n"/>
      <c r="Y404" s="30" t="n"/>
      <c r="Z404" s="30" t="n"/>
    </row>
    <row r="405">
      <c r="L405" s="30" t="n"/>
      <c r="Y405" s="30" t="n"/>
      <c r="Z405" s="30" t="n"/>
    </row>
    <row r="406">
      <c r="L406" s="30" t="n"/>
      <c r="Y406" s="30" t="n"/>
      <c r="Z406" s="30" t="n"/>
    </row>
    <row r="407">
      <c r="L407" s="30" t="n"/>
      <c r="Y407" s="30" t="n"/>
      <c r="Z407" s="30" t="n"/>
    </row>
    <row r="408">
      <c r="L408" s="30" t="n"/>
      <c r="Y408" s="30" t="n"/>
      <c r="Z408" s="30" t="n"/>
    </row>
    <row r="409">
      <c r="L409" s="30" t="n"/>
      <c r="Y409" s="30" t="n"/>
      <c r="Z409" s="30" t="n"/>
    </row>
    <row r="410">
      <c r="L410" s="30" t="n"/>
      <c r="Y410" s="30" t="n"/>
      <c r="Z410" s="30" t="n"/>
    </row>
    <row r="411">
      <c r="L411" s="30" t="n"/>
      <c r="Y411" s="30" t="n"/>
      <c r="Z411" s="30" t="n"/>
    </row>
    <row r="412">
      <c r="L412" s="30" t="n"/>
      <c r="Y412" s="30" t="n"/>
      <c r="Z412" s="30" t="n"/>
    </row>
    <row r="413">
      <c r="L413" s="30" t="n"/>
      <c r="Y413" s="30" t="n"/>
      <c r="Z413" s="30" t="n"/>
    </row>
    <row r="414">
      <c r="L414" s="30" t="n"/>
      <c r="Y414" s="30" t="n"/>
      <c r="Z414" s="30" t="n"/>
    </row>
    <row r="415">
      <c r="L415" s="30" t="n"/>
      <c r="Y415" s="30" t="n"/>
      <c r="Z415" s="30" t="n"/>
    </row>
    <row r="416">
      <c r="L416" s="30" t="n"/>
      <c r="Y416" s="30" t="n"/>
      <c r="Z416" s="30" t="n"/>
    </row>
    <row r="417">
      <c r="L417" s="30" t="n"/>
      <c r="Y417" s="30" t="n"/>
      <c r="Z417" s="30" t="n"/>
    </row>
    <row r="418">
      <c r="L418" s="30" t="n"/>
      <c r="Y418" s="30" t="n"/>
      <c r="Z418" s="30" t="n"/>
    </row>
    <row r="419">
      <c r="L419" s="30" t="n"/>
      <c r="Y419" s="30" t="n"/>
      <c r="Z419" s="30" t="n"/>
    </row>
    <row r="420">
      <c r="L420" s="30" t="n"/>
      <c r="Y420" s="30" t="n"/>
      <c r="Z420" s="30" t="n"/>
    </row>
    <row r="421">
      <c r="L421" s="30" t="n"/>
      <c r="Y421" s="30" t="n"/>
      <c r="Z421" s="30" t="n"/>
    </row>
    <row r="422">
      <c r="L422" s="30" t="n"/>
      <c r="Y422" s="30" t="n"/>
      <c r="Z422" s="30" t="n"/>
    </row>
    <row r="423">
      <c r="L423" s="30" t="n"/>
      <c r="Y423" s="30" t="n"/>
      <c r="Z423" s="30" t="n"/>
    </row>
    <row r="424">
      <c r="L424" s="30" t="n"/>
      <c r="Y424" s="30" t="n"/>
      <c r="Z424" s="30" t="n"/>
    </row>
    <row r="425">
      <c r="L425" s="30" t="n"/>
      <c r="Y425" s="30" t="n"/>
      <c r="Z425" s="30" t="n"/>
    </row>
    <row r="426">
      <c r="L426" s="30" t="n"/>
      <c r="Y426" s="30" t="n"/>
      <c r="Z426" s="30" t="n"/>
    </row>
    <row r="427">
      <c r="L427" s="30" t="n"/>
      <c r="Y427" s="30" t="n"/>
      <c r="Z427" s="30" t="n"/>
    </row>
    <row r="428">
      <c r="L428" s="30" t="n"/>
      <c r="Y428" s="30" t="n"/>
      <c r="Z428" s="30" t="n"/>
    </row>
    <row r="429">
      <c r="L429" s="30" t="n"/>
      <c r="Y429" s="30" t="n"/>
      <c r="Z429" s="30" t="n"/>
    </row>
    <row r="430">
      <c r="L430" s="30" t="n"/>
      <c r="Y430" s="30" t="n"/>
      <c r="Z430" s="30" t="n"/>
    </row>
    <row r="431">
      <c r="L431" s="30" t="n"/>
      <c r="Y431" s="30" t="n"/>
      <c r="Z431" s="30" t="n"/>
    </row>
    <row r="432">
      <c r="L432" s="30" t="n"/>
      <c r="Y432" s="30" t="n"/>
      <c r="Z432" s="30" t="n"/>
    </row>
    <row r="433">
      <c r="L433" s="30" t="n"/>
      <c r="Y433" s="30" t="n"/>
      <c r="Z433" s="30" t="n"/>
    </row>
    <row r="434">
      <c r="L434" s="30" t="n"/>
      <c r="Y434" s="30" t="n"/>
      <c r="Z434" s="30" t="n"/>
    </row>
    <row r="435">
      <c r="L435" s="30" t="n"/>
      <c r="Y435" s="30" t="n"/>
      <c r="Z435" s="30" t="n"/>
    </row>
    <row r="436">
      <c r="L436" s="30" t="n"/>
      <c r="Y436" s="30" t="n"/>
      <c r="Z436" s="30" t="n"/>
    </row>
    <row r="437">
      <c r="L437" s="30" t="n"/>
      <c r="Y437" s="30" t="n"/>
      <c r="Z437" s="30" t="n"/>
    </row>
    <row r="438">
      <c r="L438" s="30" t="n"/>
      <c r="Y438" s="30" t="n"/>
      <c r="Z438" s="30" t="n"/>
    </row>
    <row r="439">
      <c r="L439" s="30" t="n"/>
      <c r="Y439" s="30" t="n"/>
      <c r="Z439" s="30" t="n"/>
    </row>
    <row r="440">
      <c r="L440" s="30" t="n"/>
      <c r="Y440" s="30" t="n"/>
      <c r="Z440" s="30" t="n"/>
    </row>
    <row r="441">
      <c r="L441" s="30" t="n"/>
      <c r="Y441" s="30" t="n"/>
      <c r="Z441" s="30" t="n"/>
    </row>
    <row r="442">
      <c r="L442" s="30" t="n"/>
      <c r="Y442" s="30" t="n"/>
      <c r="Z442" s="30" t="n"/>
    </row>
    <row r="443">
      <c r="L443" s="30" t="n"/>
      <c r="Y443" s="30" t="n"/>
      <c r="Z443" s="30" t="n"/>
    </row>
    <row r="444">
      <c r="L444" s="30" t="n"/>
      <c r="Y444" s="30" t="n"/>
      <c r="Z444" s="30" t="n"/>
    </row>
    <row r="445">
      <c r="L445" s="30" t="n"/>
      <c r="Y445" s="30" t="n"/>
      <c r="Z445" s="30" t="n"/>
    </row>
    <row r="446">
      <c r="L446" s="30" t="n"/>
      <c r="Y446" s="30" t="n"/>
      <c r="Z446" s="30" t="n"/>
    </row>
    <row r="447">
      <c r="L447" s="30" t="n"/>
      <c r="Y447" s="30" t="n"/>
      <c r="Z447" s="30" t="n"/>
    </row>
    <row r="448">
      <c r="L448" s="30" t="n"/>
      <c r="Y448" s="30" t="n"/>
      <c r="Z448" s="30" t="n"/>
    </row>
    <row r="449">
      <c r="L449" s="30" t="n"/>
      <c r="Y449" s="30" t="n"/>
      <c r="Z449" s="30" t="n"/>
    </row>
    <row r="450">
      <c r="L450" s="30" t="n"/>
      <c r="Y450" s="30" t="n"/>
      <c r="Z450" s="30" t="n"/>
    </row>
    <row r="451">
      <c r="L451" s="30" t="n"/>
      <c r="Y451" s="30" t="n"/>
      <c r="Z451" s="30" t="n"/>
    </row>
    <row r="452">
      <c r="L452" s="30" t="n"/>
      <c r="Y452" s="30" t="n"/>
      <c r="Z452" s="30" t="n"/>
    </row>
    <row r="453">
      <c r="L453" s="30" t="n"/>
      <c r="Y453" s="30" t="n"/>
      <c r="Z453" s="30" t="n"/>
    </row>
    <row r="454">
      <c r="L454" s="30" t="n"/>
      <c r="Y454" s="30" t="n"/>
      <c r="Z454" s="30" t="n"/>
    </row>
    <row r="455">
      <c r="L455" s="30" t="n"/>
      <c r="Y455" s="30" t="n"/>
      <c r="Z455" s="30" t="n"/>
    </row>
    <row r="456">
      <c r="L456" s="30" t="n"/>
      <c r="Y456" s="30" t="n"/>
      <c r="Z456" s="30" t="n"/>
    </row>
    <row r="457">
      <c r="L457" s="30" t="n"/>
      <c r="Y457" s="30" t="n"/>
      <c r="Z457" s="30" t="n"/>
    </row>
    <row r="458">
      <c r="L458" s="30" t="n"/>
      <c r="Y458" s="30" t="n"/>
      <c r="Z458" s="30" t="n"/>
    </row>
    <row r="459">
      <c r="L459" s="30" t="n"/>
      <c r="Y459" s="30" t="n"/>
      <c r="Z459" s="30" t="n"/>
    </row>
    <row r="460">
      <c r="L460" s="30" t="n"/>
      <c r="Y460" s="30" t="n"/>
      <c r="Z460" s="30" t="n"/>
    </row>
    <row r="461">
      <c r="L461" s="30" t="n"/>
      <c r="Y461" s="30" t="n"/>
      <c r="Z461" s="30" t="n"/>
    </row>
    <row r="462">
      <c r="L462" s="30" t="n"/>
      <c r="Y462" s="30" t="n"/>
      <c r="Z462" s="30" t="n"/>
    </row>
    <row r="463">
      <c r="L463" s="30" t="n"/>
      <c r="Y463" s="30" t="n"/>
      <c r="Z463" s="30" t="n"/>
    </row>
    <row r="464">
      <c r="L464" s="30" t="n"/>
      <c r="Y464" s="30" t="n"/>
      <c r="Z464" s="30" t="n"/>
    </row>
    <row r="465">
      <c r="L465" s="30" t="n"/>
      <c r="Y465" s="30" t="n"/>
      <c r="Z465" s="30" t="n"/>
    </row>
    <row r="466">
      <c r="L466" s="30" t="n"/>
      <c r="Y466" s="30" t="n"/>
      <c r="Z466" s="30" t="n"/>
    </row>
    <row r="467">
      <c r="L467" s="30" t="n"/>
      <c r="Y467" s="30" t="n"/>
      <c r="Z467" s="30" t="n"/>
    </row>
    <row r="468">
      <c r="L468" s="30" t="n"/>
      <c r="Y468" s="30" t="n"/>
      <c r="Z468" s="30" t="n"/>
    </row>
    <row r="469">
      <c r="L469" s="30" t="n"/>
      <c r="Y469" s="30" t="n"/>
      <c r="Z469" s="30" t="n"/>
    </row>
    <row r="470">
      <c r="L470" s="30" t="n"/>
      <c r="Y470" s="30" t="n"/>
      <c r="Z470" s="30" t="n"/>
    </row>
    <row r="471">
      <c r="L471" s="30" t="n"/>
      <c r="Y471" s="30" t="n"/>
      <c r="Z471" s="30" t="n"/>
    </row>
    <row r="472">
      <c r="L472" s="30" t="n"/>
      <c r="Y472" s="30" t="n"/>
      <c r="Z472" s="30" t="n"/>
    </row>
    <row r="473">
      <c r="L473" s="30" t="n"/>
      <c r="Y473" s="30" t="n"/>
      <c r="Z473" s="30" t="n"/>
    </row>
    <row r="474">
      <c r="L474" s="30" t="n"/>
      <c r="Y474" s="30" t="n"/>
      <c r="Z474" s="30" t="n"/>
    </row>
    <row r="475">
      <c r="L475" s="30" t="n"/>
      <c r="Y475" s="30" t="n"/>
      <c r="Z475" s="30" t="n"/>
    </row>
    <row r="476">
      <c r="L476" s="30" t="n"/>
      <c r="Y476" s="30" t="n"/>
      <c r="Z476" s="30" t="n"/>
    </row>
    <row r="477">
      <c r="L477" s="30" t="n"/>
      <c r="Y477" s="30" t="n"/>
      <c r="Z477" s="30" t="n"/>
    </row>
    <row r="478">
      <c r="L478" s="30" t="n"/>
      <c r="Y478" s="30" t="n"/>
      <c r="Z478" s="30" t="n"/>
    </row>
    <row r="479">
      <c r="L479" s="30" t="n"/>
      <c r="Y479" s="30" t="n"/>
      <c r="Z479" s="30" t="n"/>
    </row>
    <row r="480">
      <c r="L480" s="30" t="n"/>
      <c r="Y480" s="30" t="n"/>
      <c r="Z480" s="30" t="n"/>
    </row>
    <row r="481">
      <c r="L481" s="30" t="n"/>
      <c r="Y481" s="30" t="n"/>
      <c r="Z481" s="30" t="n"/>
    </row>
    <row r="482">
      <c r="L482" s="30" t="n"/>
      <c r="Y482" s="30" t="n"/>
      <c r="Z482" s="30" t="n"/>
    </row>
    <row r="483">
      <c r="L483" s="30" t="n"/>
      <c r="Y483" s="30" t="n"/>
      <c r="Z483" s="30" t="n"/>
    </row>
    <row r="484">
      <c r="L484" s="30" t="n"/>
      <c r="Y484" s="30" t="n"/>
      <c r="Z484" s="30" t="n"/>
    </row>
    <row r="485">
      <c r="L485" s="30" t="n"/>
      <c r="Y485" s="30" t="n"/>
      <c r="Z485" s="30" t="n"/>
    </row>
    <row r="486">
      <c r="L486" s="30" t="n"/>
      <c r="Y486" s="30" t="n"/>
      <c r="Z486" s="30" t="n"/>
    </row>
    <row r="487">
      <c r="L487" s="30" t="n"/>
      <c r="Y487" s="30" t="n"/>
      <c r="Z487" s="30" t="n"/>
    </row>
    <row r="488">
      <c r="L488" s="30" t="n"/>
      <c r="Y488" s="30" t="n"/>
      <c r="Z488" s="30" t="n"/>
    </row>
    <row r="489">
      <c r="L489" s="30" t="n"/>
      <c r="Y489" s="30" t="n"/>
      <c r="Z489" s="30" t="n"/>
    </row>
    <row r="490">
      <c r="L490" s="30" t="n"/>
      <c r="Y490" s="30" t="n"/>
      <c r="Z490" s="30" t="n"/>
    </row>
    <row r="491">
      <c r="L491" s="30" t="n"/>
      <c r="Y491" s="30" t="n"/>
      <c r="Z491" s="30" t="n"/>
    </row>
    <row r="492">
      <c r="L492" s="30" t="n"/>
      <c r="Y492" s="30" t="n"/>
      <c r="Z492" s="30" t="n"/>
    </row>
    <row r="493">
      <c r="L493" s="30" t="n"/>
      <c r="Y493" s="30" t="n"/>
      <c r="Z493" s="30" t="n"/>
    </row>
    <row r="494">
      <c r="L494" s="30" t="n"/>
      <c r="Y494" s="30" t="n"/>
      <c r="Z494" s="30" t="n"/>
    </row>
    <row r="495">
      <c r="L495" s="30" t="n"/>
      <c r="Y495" s="30" t="n"/>
      <c r="Z495" s="30" t="n"/>
    </row>
    <row r="496">
      <c r="L496" s="30" t="n"/>
      <c r="Y496" s="30" t="n"/>
      <c r="Z496" s="30" t="n"/>
    </row>
    <row r="497">
      <c r="L497" s="30" t="n"/>
      <c r="Y497" s="30" t="n"/>
      <c r="Z497" s="30" t="n"/>
    </row>
    <row r="498">
      <c r="L498" s="30" t="n"/>
      <c r="Y498" s="30" t="n"/>
      <c r="Z498" s="30" t="n"/>
    </row>
    <row r="499">
      <c r="L499" s="30" t="n"/>
      <c r="Y499" s="30" t="n"/>
      <c r="Z499" s="30" t="n"/>
    </row>
    <row r="500">
      <c r="L500" s="30" t="n"/>
      <c r="Y500" s="30" t="n"/>
      <c r="Z500" s="30" t="n"/>
    </row>
    <row r="501">
      <c r="L501" s="30" t="n"/>
      <c r="Y501" s="30" t="n"/>
      <c r="Z501" s="30" t="n"/>
    </row>
    <row r="502">
      <c r="L502" s="30" t="n"/>
      <c r="Y502" s="30" t="n"/>
      <c r="Z502" s="30" t="n"/>
    </row>
    <row r="503">
      <c r="L503" s="30" t="n"/>
      <c r="Y503" s="30" t="n"/>
      <c r="Z503" s="30" t="n"/>
    </row>
    <row r="504">
      <c r="L504" s="30" t="n"/>
      <c r="Y504" s="30" t="n"/>
      <c r="Z504" s="30" t="n"/>
    </row>
    <row r="505">
      <c r="L505" s="30" t="n"/>
      <c r="Y505" s="30" t="n"/>
      <c r="Z505" s="30" t="n"/>
    </row>
    <row r="506">
      <c r="L506" s="30" t="n"/>
      <c r="Y506" s="30" t="n"/>
      <c r="Z506" s="30" t="n"/>
    </row>
    <row r="507">
      <c r="L507" s="30" t="n"/>
      <c r="Y507" s="30" t="n"/>
      <c r="Z507" s="30" t="n"/>
    </row>
    <row r="508">
      <c r="L508" s="30" t="n"/>
      <c r="Y508" s="30" t="n"/>
      <c r="Z508" s="30" t="n"/>
    </row>
    <row r="509">
      <c r="L509" s="30" t="n"/>
      <c r="Y509" s="30" t="n"/>
      <c r="Z509" s="30" t="n"/>
    </row>
    <row r="510">
      <c r="L510" s="30" t="n"/>
      <c r="Y510" s="30" t="n"/>
      <c r="Z510" s="30" t="n"/>
    </row>
    <row r="511">
      <c r="L511" s="30" t="n"/>
      <c r="Y511" s="30" t="n"/>
      <c r="Z511" s="30" t="n"/>
    </row>
    <row r="512">
      <c r="L512" s="30" t="n"/>
      <c r="Y512" s="30" t="n"/>
      <c r="Z512" s="30" t="n"/>
    </row>
    <row r="513">
      <c r="L513" s="30" t="n"/>
      <c r="Y513" s="30" t="n"/>
      <c r="Z513" s="30" t="n"/>
    </row>
    <row r="514">
      <c r="L514" s="30" t="n"/>
      <c r="Y514" s="30" t="n"/>
      <c r="Z514" s="30" t="n"/>
    </row>
    <row r="515">
      <c r="L515" s="30" t="n"/>
      <c r="Y515" s="30" t="n"/>
      <c r="Z515" s="30" t="n"/>
    </row>
    <row r="516">
      <c r="L516" s="30" t="n"/>
      <c r="Y516" s="30" t="n"/>
      <c r="Z516" s="30" t="n"/>
    </row>
    <row r="517">
      <c r="L517" s="30" t="n"/>
      <c r="Y517" s="30" t="n"/>
      <c r="Z517" s="30" t="n"/>
    </row>
    <row r="518">
      <c r="L518" s="30" t="n"/>
      <c r="Y518" s="30" t="n"/>
      <c r="Z518" s="30" t="n"/>
    </row>
    <row r="519">
      <c r="L519" s="30" t="n"/>
      <c r="Y519" s="30" t="n"/>
      <c r="Z519" s="30" t="n"/>
    </row>
    <row r="520">
      <c r="L520" s="30" t="n"/>
      <c r="Y520" s="30" t="n"/>
      <c r="Z520" s="30" t="n"/>
    </row>
    <row r="521">
      <c r="L521" s="30" t="n"/>
      <c r="Y521" s="30" t="n"/>
      <c r="Z521" s="30" t="n"/>
    </row>
    <row r="522">
      <c r="L522" s="30" t="n"/>
      <c r="Y522" s="30" t="n"/>
      <c r="Z522" s="30" t="n"/>
    </row>
    <row r="523">
      <c r="L523" s="30" t="n"/>
      <c r="Y523" s="30" t="n"/>
      <c r="Z523" s="30" t="n"/>
    </row>
    <row r="524">
      <c r="L524" s="30" t="n"/>
      <c r="Y524" s="30" t="n"/>
      <c r="Z524" s="30" t="n"/>
    </row>
    <row r="525">
      <c r="L525" s="30" t="n"/>
      <c r="Y525" s="30" t="n"/>
      <c r="Z525" s="30" t="n"/>
    </row>
    <row r="526">
      <c r="L526" s="30" t="n"/>
      <c r="Y526" s="30" t="n"/>
      <c r="Z526" s="30" t="n"/>
    </row>
    <row r="527">
      <c r="L527" s="30" t="n"/>
      <c r="Y527" s="30" t="n"/>
      <c r="Z527" s="30" t="n"/>
    </row>
    <row r="528">
      <c r="L528" s="30" t="n"/>
      <c r="Y528" s="30" t="n"/>
      <c r="Z528" s="30" t="n"/>
    </row>
    <row r="529">
      <c r="L529" s="30" t="n"/>
      <c r="Y529" s="30" t="n"/>
      <c r="Z529" s="30" t="n"/>
    </row>
    <row r="530">
      <c r="L530" s="30" t="n"/>
      <c r="Y530" s="30" t="n"/>
      <c r="Z530" s="30" t="n"/>
    </row>
    <row r="531">
      <c r="L531" s="30" t="n"/>
      <c r="Y531" s="30" t="n"/>
      <c r="Z531" s="30" t="n"/>
    </row>
    <row r="532">
      <c r="L532" s="30" t="n"/>
      <c r="Y532" s="30" t="n"/>
      <c r="Z532" s="30" t="n"/>
    </row>
    <row r="533">
      <c r="L533" s="30" t="n"/>
      <c r="Y533" s="30" t="n"/>
      <c r="Z533" s="30" t="n"/>
    </row>
    <row r="534">
      <c r="L534" s="30" t="n"/>
      <c r="Y534" s="30" t="n"/>
      <c r="Z534" s="30" t="n"/>
    </row>
    <row r="535">
      <c r="L535" s="30" t="n"/>
      <c r="Y535" s="30" t="n"/>
      <c r="Z535" s="30" t="n"/>
    </row>
    <row r="536">
      <c r="L536" s="30" t="n"/>
      <c r="Y536" s="30" t="n"/>
      <c r="Z536" s="30" t="n"/>
    </row>
    <row r="537">
      <c r="L537" s="30" t="n"/>
      <c r="Y537" s="30" t="n"/>
      <c r="Z537" s="30" t="n"/>
    </row>
    <row r="538">
      <c r="L538" s="30" t="n"/>
      <c r="Y538" s="30" t="n"/>
      <c r="Z538" s="30" t="n"/>
    </row>
    <row r="539">
      <c r="L539" s="30" t="n"/>
      <c r="Y539" s="30" t="n"/>
      <c r="Z539" s="30" t="n"/>
    </row>
    <row r="540">
      <c r="L540" s="30" t="n"/>
      <c r="Y540" s="30" t="n"/>
      <c r="Z540" s="30" t="n"/>
    </row>
    <row r="541">
      <c r="L541" s="30" t="n"/>
      <c r="Y541" s="30" t="n"/>
      <c r="Z541" s="30" t="n"/>
    </row>
    <row r="542">
      <c r="L542" s="30" t="n"/>
      <c r="Y542" s="30" t="n"/>
      <c r="Z542" s="30" t="n"/>
    </row>
    <row r="543">
      <c r="L543" s="30" t="n"/>
      <c r="Y543" s="30" t="n"/>
      <c r="Z543" s="30" t="n"/>
    </row>
    <row r="544">
      <c r="L544" s="30" t="n"/>
      <c r="Y544" s="30" t="n"/>
      <c r="Z544" s="30" t="n"/>
    </row>
    <row r="545">
      <c r="L545" s="30" t="n"/>
      <c r="Y545" s="30" t="n"/>
      <c r="Z545" s="30" t="n"/>
    </row>
    <row r="546">
      <c r="L546" s="30" t="n"/>
      <c r="Y546" s="30" t="n"/>
      <c r="Z546" s="30" t="n"/>
    </row>
    <row r="547">
      <c r="L547" s="30" t="n"/>
      <c r="Y547" s="30" t="n"/>
      <c r="Z547" s="30" t="n"/>
    </row>
    <row r="548">
      <c r="L548" s="30" t="n"/>
      <c r="Y548" s="30" t="n"/>
      <c r="Z548" s="30" t="n"/>
    </row>
    <row r="549">
      <c r="L549" s="30" t="n"/>
      <c r="Y549" s="30" t="n"/>
      <c r="Z549" s="30" t="n"/>
    </row>
    <row r="550">
      <c r="L550" s="30" t="n"/>
      <c r="Y550" s="30" t="n"/>
      <c r="Z550" s="30" t="n"/>
    </row>
    <row r="551">
      <c r="L551" s="30" t="n"/>
      <c r="Y551" s="30" t="n"/>
      <c r="Z551" s="30" t="n"/>
    </row>
    <row r="552">
      <c r="L552" s="30" t="n"/>
      <c r="Y552" s="30" t="n"/>
      <c r="Z552" s="30" t="n"/>
    </row>
    <row r="553">
      <c r="L553" s="30" t="n"/>
      <c r="Y553" s="30" t="n"/>
      <c r="Z553" s="30" t="n"/>
    </row>
    <row r="554">
      <c r="L554" s="30" t="n"/>
      <c r="Y554" s="30" t="n"/>
      <c r="Z554" s="30" t="n"/>
    </row>
    <row r="555">
      <c r="L555" s="30" t="n"/>
      <c r="Y555" s="30" t="n"/>
      <c r="Z555" s="30" t="n"/>
    </row>
    <row r="556">
      <c r="L556" s="30" t="n"/>
      <c r="Y556" s="30" t="n"/>
      <c r="Z556" s="30" t="n"/>
    </row>
    <row r="557">
      <c r="L557" s="30" t="n"/>
      <c r="Y557" s="30" t="n"/>
      <c r="Z557" s="30" t="n"/>
    </row>
    <row r="558">
      <c r="L558" s="30" t="n"/>
      <c r="Y558" s="30" t="n"/>
      <c r="Z558" s="30" t="n"/>
    </row>
    <row r="559">
      <c r="L559" s="30" t="n"/>
      <c r="Y559" s="30" t="n"/>
      <c r="Z559" s="30" t="n"/>
    </row>
    <row r="560">
      <c r="L560" s="30" t="n"/>
      <c r="Y560" s="30" t="n"/>
      <c r="Z560" s="30" t="n"/>
    </row>
    <row r="561">
      <c r="L561" s="30" t="n"/>
      <c r="Y561" s="30" t="n"/>
      <c r="Z561" s="30" t="n"/>
    </row>
    <row r="562">
      <c r="L562" s="30" t="n"/>
      <c r="Y562" s="30" t="n"/>
      <c r="Z562" s="30" t="n"/>
    </row>
    <row r="563">
      <c r="L563" s="30" t="n"/>
      <c r="Y563" s="30" t="n"/>
      <c r="Z563" s="30" t="n"/>
    </row>
    <row r="564">
      <c r="L564" s="30" t="n"/>
      <c r="Y564" s="30" t="n"/>
      <c r="Z564" s="30" t="n"/>
    </row>
    <row r="565">
      <c r="L565" s="30" t="n"/>
      <c r="Y565" s="30" t="n"/>
      <c r="Z565" s="30" t="n"/>
    </row>
    <row r="566">
      <c r="L566" s="30" t="n"/>
      <c r="Y566" s="30" t="n"/>
      <c r="Z566" s="30" t="n"/>
    </row>
    <row r="567">
      <c r="L567" s="30" t="n"/>
      <c r="Y567" s="30" t="n"/>
      <c r="Z567" s="30" t="n"/>
    </row>
    <row r="568">
      <c r="L568" s="30" t="n"/>
      <c r="Y568" s="30" t="n"/>
      <c r="Z568" s="30" t="n"/>
    </row>
    <row r="569">
      <c r="L569" s="30" t="n"/>
      <c r="Y569" s="30" t="n"/>
      <c r="Z569" s="30" t="n"/>
    </row>
    <row r="570">
      <c r="L570" s="30" t="n"/>
      <c r="Y570" s="30" t="n"/>
      <c r="Z570" s="30" t="n"/>
    </row>
    <row r="571">
      <c r="L571" s="30" t="n"/>
      <c r="Y571" s="30" t="n"/>
      <c r="Z571" s="30" t="n"/>
    </row>
    <row r="572">
      <c r="L572" s="30" t="n"/>
      <c r="Y572" s="30" t="n"/>
      <c r="Z572" s="30" t="n"/>
    </row>
    <row r="573">
      <c r="L573" s="30" t="n"/>
      <c r="Y573" s="30" t="n"/>
      <c r="Z573" s="30" t="n"/>
    </row>
    <row r="574">
      <c r="L574" s="30" t="n"/>
      <c r="Y574" s="30" t="n"/>
      <c r="Z574" s="30" t="n"/>
    </row>
    <row r="575">
      <c r="L575" s="30" t="n"/>
      <c r="Y575" s="30" t="n"/>
      <c r="Z575" s="30" t="n"/>
    </row>
    <row r="576">
      <c r="L576" s="30" t="n"/>
      <c r="Y576" s="30" t="n"/>
      <c r="Z576" s="30" t="n"/>
    </row>
    <row r="577">
      <c r="L577" s="30" t="n"/>
      <c r="Y577" s="30" t="n"/>
      <c r="Z577" s="30" t="n"/>
    </row>
    <row r="578">
      <c r="L578" s="30" t="n"/>
      <c r="Y578" s="30" t="n"/>
      <c r="Z578" s="30" t="n"/>
    </row>
    <row r="579">
      <c r="L579" s="30" t="n"/>
      <c r="Y579" s="30" t="n"/>
      <c r="Z579" s="30" t="n"/>
    </row>
    <row r="580">
      <c r="L580" s="30" t="n"/>
      <c r="Y580" s="30" t="n"/>
      <c r="Z580" s="30" t="n"/>
    </row>
    <row r="581">
      <c r="L581" s="30" t="n"/>
      <c r="Y581" s="30" t="n"/>
      <c r="Z581" s="30" t="n"/>
    </row>
    <row r="582">
      <c r="L582" s="30" t="n"/>
      <c r="Y582" s="30" t="n"/>
      <c r="Z582" s="30" t="n"/>
    </row>
    <row r="583">
      <c r="L583" s="30" t="n"/>
      <c r="Y583" s="30" t="n"/>
      <c r="Z583" s="30" t="n"/>
    </row>
    <row r="584">
      <c r="L584" s="30" t="n"/>
      <c r="Y584" s="30" t="n"/>
      <c r="Z584" s="30" t="n"/>
    </row>
    <row r="585">
      <c r="L585" s="30" t="n"/>
      <c r="Y585" s="30" t="n"/>
      <c r="Z585" s="30" t="n"/>
    </row>
    <row r="586">
      <c r="L586" s="30" t="n"/>
      <c r="Y586" s="30" t="n"/>
      <c r="Z586" s="30" t="n"/>
    </row>
    <row r="587">
      <c r="L587" s="30" t="n"/>
      <c r="Y587" s="30" t="n"/>
      <c r="Z587" s="30" t="n"/>
    </row>
    <row r="588">
      <c r="L588" s="30" t="n"/>
      <c r="Y588" s="30" t="n"/>
      <c r="Z588" s="30" t="n"/>
    </row>
    <row r="589">
      <c r="L589" s="30" t="n"/>
      <c r="Y589" s="30" t="n"/>
      <c r="Z589" s="30" t="n"/>
    </row>
    <row r="590">
      <c r="L590" s="30" t="n"/>
      <c r="Y590" s="30" t="n"/>
      <c r="Z590" s="30" t="n"/>
    </row>
    <row r="591">
      <c r="L591" s="30" t="n"/>
      <c r="Y591" s="30" t="n"/>
      <c r="Z591" s="30" t="n"/>
    </row>
    <row r="592">
      <c r="L592" s="30" t="n"/>
      <c r="Y592" s="30" t="n"/>
      <c r="Z592" s="30" t="n"/>
    </row>
    <row r="593">
      <c r="L593" s="30" t="n"/>
      <c r="Y593" s="30" t="n"/>
      <c r="Z593" s="30" t="n"/>
    </row>
    <row r="594">
      <c r="L594" s="30" t="n"/>
      <c r="Y594" s="30" t="n"/>
      <c r="Z594" s="30" t="n"/>
    </row>
    <row r="595">
      <c r="L595" s="30" t="n"/>
      <c r="Y595" s="30" t="n"/>
      <c r="Z595" s="30" t="n"/>
    </row>
    <row r="596">
      <c r="L596" s="30" t="n"/>
      <c r="Y596" s="30" t="n"/>
      <c r="Z596" s="30" t="n"/>
    </row>
    <row r="597">
      <c r="L597" s="30" t="n"/>
      <c r="Y597" s="30" t="n"/>
      <c r="Z597" s="30" t="n"/>
    </row>
    <row r="598">
      <c r="L598" s="30" t="n"/>
      <c r="Y598" s="30" t="n"/>
      <c r="Z598" s="30" t="n"/>
    </row>
    <row r="599">
      <c r="L599" s="30" t="n"/>
      <c r="Y599" s="30" t="n"/>
      <c r="Z599" s="30" t="n"/>
    </row>
    <row r="600">
      <c r="L600" s="30" t="n"/>
      <c r="Y600" s="30" t="n"/>
      <c r="Z600" s="30" t="n"/>
    </row>
    <row r="601">
      <c r="L601" s="30" t="n"/>
      <c r="Y601" s="30" t="n"/>
      <c r="Z601" s="30" t="n"/>
    </row>
    <row r="602">
      <c r="L602" s="30" t="n"/>
      <c r="Y602" s="30" t="n"/>
      <c r="Z602" s="30" t="n"/>
    </row>
    <row r="603">
      <c r="L603" s="30" t="n"/>
      <c r="Y603" s="30" t="n"/>
      <c r="Z603" s="30" t="n"/>
    </row>
    <row r="604">
      <c r="L604" s="30" t="n"/>
      <c r="Y604" s="30" t="n"/>
      <c r="Z604" s="30" t="n"/>
    </row>
    <row r="605">
      <c r="L605" s="30" t="n"/>
      <c r="Y605" s="30" t="n"/>
      <c r="Z605" s="30" t="n"/>
    </row>
    <row r="606">
      <c r="L606" s="30" t="n"/>
      <c r="Y606" s="30" t="n"/>
      <c r="Z606" s="30" t="n"/>
    </row>
    <row r="607">
      <c r="L607" s="30" t="n"/>
      <c r="Y607" s="30" t="n"/>
      <c r="Z607" s="30" t="n"/>
    </row>
    <row r="608">
      <c r="L608" s="30" t="n"/>
      <c r="Y608" s="30" t="n"/>
      <c r="Z608" s="30" t="n"/>
    </row>
    <row r="609">
      <c r="L609" s="30" t="n"/>
      <c r="Y609" s="30" t="n"/>
      <c r="Z609" s="30" t="n"/>
    </row>
    <row r="610">
      <c r="L610" s="30" t="n"/>
      <c r="Y610" s="30" t="n"/>
      <c r="Z610" s="30" t="n"/>
    </row>
    <row r="611">
      <c r="L611" s="30" t="n"/>
      <c r="Y611" s="30" t="n"/>
      <c r="Z611" s="30" t="n"/>
    </row>
    <row r="612">
      <c r="L612" s="30" t="n"/>
      <c r="Y612" s="30" t="n"/>
      <c r="Z612" s="30" t="n"/>
    </row>
    <row r="613">
      <c r="L613" s="30" t="n"/>
      <c r="Y613" s="30" t="n"/>
      <c r="Z613" s="30" t="n"/>
    </row>
    <row r="614">
      <c r="L614" s="30" t="n"/>
      <c r="Y614" s="30" t="n"/>
      <c r="Z614" s="30" t="n"/>
    </row>
    <row r="615">
      <c r="L615" s="30" t="n"/>
      <c r="Y615" s="30" t="n"/>
      <c r="Z615" s="30" t="n"/>
    </row>
    <row r="616">
      <c r="L616" s="30" t="n"/>
      <c r="Y616" s="30" t="n"/>
      <c r="Z616" s="30" t="n"/>
    </row>
    <row r="617">
      <c r="L617" s="30" t="n"/>
      <c r="Y617" s="30" t="n"/>
      <c r="Z617" s="30" t="n"/>
    </row>
    <row r="618">
      <c r="L618" s="30" t="n"/>
      <c r="Y618" s="30" t="n"/>
      <c r="Z618" s="30" t="n"/>
    </row>
    <row r="619">
      <c r="L619" s="30" t="n"/>
      <c r="Y619" s="30" t="n"/>
      <c r="Z619" s="30" t="n"/>
    </row>
    <row r="620">
      <c r="L620" s="30" t="n"/>
      <c r="Y620" s="30" t="n"/>
      <c r="Z620" s="30" t="n"/>
    </row>
    <row r="621">
      <c r="L621" s="30" t="n"/>
      <c r="Y621" s="30" t="n"/>
      <c r="Z621" s="30" t="n"/>
    </row>
    <row r="622">
      <c r="L622" s="30" t="n"/>
      <c r="Y622" s="30" t="n"/>
      <c r="Z622" s="30" t="n"/>
    </row>
    <row r="623">
      <c r="L623" s="30" t="n"/>
      <c r="Y623" s="30" t="n"/>
      <c r="Z623" s="30" t="n"/>
    </row>
    <row r="624">
      <c r="L624" s="30" t="n"/>
      <c r="Y624" s="30" t="n"/>
      <c r="Z624" s="30" t="n"/>
    </row>
    <row r="625">
      <c r="L625" s="30" t="n"/>
      <c r="Y625" s="30" t="n"/>
      <c r="Z625" s="30" t="n"/>
    </row>
    <row r="626">
      <c r="L626" s="30" t="n"/>
      <c r="Y626" s="30" t="n"/>
      <c r="Z626" s="30" t="n"/>
    </row>
    <row r="627">
      <c r="L627" s="30" t="n"/>
      <c r="Y627" s="30" t="n"/>
      <c r="Z627" s="30" t="n"/>
    </row>
    <row r="628">
      <c r="L628" s="30" t="n"/>
      <c r="Y628" s="30" t="n"/>
      <c r="Z628" s="30" t="n"/>
    </row>
    <row r="629">
      <c r="L629" s="30" t="n"/>
      <c r="Y629" s="30" t="n"/>
      <c r="Z629" s="30" t="n"/>
    </row>
    <row r="630">
      <c r="L630" s="30" t="n"/>
      <c r="Y630" s="30" t="n"/>
      <c r="Z630" s="30" t="n"/>
    </row>
    <row r="631">
      <c r="L631" s="30" t="n"/>
      <c r="Y631" s="30" t="n"/>
      <c r="Z631" s="30" t="n"/>
    </row>
    <row r="632">
      <c r="L632" s="30" t="n"/>
      <c r="Y632" s="30" t="n"/>
      <c r="Z632" s="30" t="n"/>
    </row>
    <row r="633">
      <c r="L633" s="30" t="n"/>
      <c r="Y633" s="30" t="n"/>
      <c r="Z633" s="30" t="n"/>
    </row>
    <row r="634">
      <c r="L634" s="30" t="n"/>
      <c r="Y634" s="30" t="n"/>
      <c r="Z634" s="30" t="n"/>
    </row>
    <row r="635">
      <c r="L635" s="30" t="n"/>
      <c r="Y635" s="30" t="n"/>
      <c r="Z635" s="30" t="n"/>
    </row>
    <row r="636">
      <c r="L636" s="30" t="n"/>
      <c r="Y636" s="30" t="n"/>
      <c r="Z636" s="30" t="n"/>
    </row>
    <row r="637">
      <c r="L637" s="30" t="n"/>
      <c r="Y637" s="30" t="n"/>
      <c r="Z637" s="30" t="n"/>
    </row>
    <row r="638">
      <c r="L638" s="30" t="n"/>
      <c r="Y638" s="30" t="n"/>
      <c r="Z638" s="30" t="n"/>
    </row>
    <row r="639">
      <c r="L639" s="30" t="n"/>
      <c r="Y639" s="30" t="n"/>
      <c r="Z639" s="30" t="n"/>
    </row>
    <row r="640">
      <c r="L640" s="30" t="n"/>
      <c r="Y640" s="30" t="n"/>
      <c r="Z640" s="30" t="n"/>
    </row>
    <row r="641">
      <c r="L641" s="30" t="n"/>
      <c r="Y641" s="30" t="n"/>
      <c r="Z641" s="30" t="n"/>
    </row>
    <row r="642">
      <c r="L642" s="30" t="n"/>
      <c r="Y642" s="30" t="n"/>
      <c r="Z642" s="30" t="n"/>
    </row>
    <row r="643">
      <c r="L643" s="30" t="n"/>
      <c r="Y643" s="30" t="n"/>
      <c r="Z643" s="30" t="n"/>
    </row>
    <row r="644">
      <c r="L644" s="30" t="n"/>
      <c r="Y644" s="30" t="n"/>
      <c r="Z644" s="30" t="n"/>
    </row>
    <row r="645">
      <c r="L645" s="30" t="n"/>
      <c r="Y645" s="30" t="n"/>
      <c r="Z645" s="30" t="n"/>
    </row>
    <row r="646">
      <c r="L646" s="30" t="n"/>
      <c r="Y646" s="30" t="n"/>
      <c r="Z646" s="30" t="n"/>
    </row>
    <row r="647">
      <c r="L647" s="30" t="n"/>
      <c r="Y647" s="30" t="n"/>
      <c r="Z647" s="30" t="n"/>
    </row>
    <row r="648">
      <c r="L648" s="30" t="n"/>
      <c r="Y648" s="30" t="n"/>
      <c r="Z648" s="30" t="n"/>
    </row>
    <row r="649">
      <c r="L649" s="30" t="n"/>
      <c r="Y649" s="30" t="n"/>
      <c r="Z649" s="30" t="n"/>
    </row>
    <row r="650">
      <c r="L650" s="30" t="n"/>
      <c r="Y650" s="30" t="n"/>
      <c r="Z650" s="30" t="n"/>
    </row>
    <row r="651">
      <c r="L651" s="30" t="n"/>
      <c r="Y651" s="30" t="n"/>
      <c r="Z651" s="30" t="n"/>
    </row>
    <row r="652">
      <c r="L652" s="30" t="n"/>
      <c r="Y652" s="30" t="n"/>
      <c r="Z652" s="30" t="n"/>
    </row>
    <row r="653">
      <c r="L653" s="30" t="n"/>
      <c r="Y653" s="30" t="n"/>
      <c r="Z653" s="30" t="n"/>
    </row>
    <row r="654">
      <c r="L654" s="30" t="n"/>
      <c r="Y654" s="30" t="n"/>
      <c r="Z654" s="30" t="n"/>
    </row>
    <row r="655">
      <c r="L655" s="30" t="n"/>
      <c r="Y655" s="30" t="n"/>
      <c r="Z655" s="30" t="n"/>
    </row>
    <row r="656">
      <c r="L656" s="30" t="n"/>
      <c r="Y656" s="30" t="n"/>
      <c r="Z656" s="30" t="n"/>
    </row>
    <row r="657">
      <c r="L657" s="30" t="n"/>
      <c r="Y657" s="30" t="n"/>
      <c r="Z657" s="30" t="n"/>
    </row>
    <row r="658">
      <c r="L658" s="30" t="n"/>
      <c r="Y658" s="30" t="n"/>
      <c r="Z658" s="30" t="n"/>
    </row>
    <row r="659">
      <c r="L659" s="30" t="n"/>
      <c r="Y659" s="30" t="n"/>
      <c r="Z659" s="30" t="n"/>
    </row>
    <row r="660">
      <c r="L660" s="30" t="n"/>
      <c r="Y660" s="30" t="n"/>
      <c r="Z660" s="30" t="n"/>
    </row>
    <row r="661">
      <c r="L661" s="30" t="n"/>
      <c r="Y661" s="30" t="n"/>
      <c r="Z661" s="30" t="n"/>
    </row>
    <row r="662">
      <c r="L662" s="30" t="n"/>
      <c r="Y662" s="30" t="n"/>
      <c r="Z662" s="30" t="n"/>
    </row>
    <row r="663">
      <c r="L663" s="30" t="n"/>
      <c r="Y663" s="30" t="n"/>
      <c r="Z663" s="30" t="n"/>
    </row>
    <row r="664">
      <c r="L664" s="30" t="n"/>
      <c r="Y664" s="30" t="n"/>
      <c r="Z664" s="30" t="n"/>
    </row>
    <row r="665">
      <c r="L665" s="30" t="n"/>
      <c r="Y665" s="30" t="n"/>
      <c r="Z665" s="30" t="n"/>
    </row>
    <row r="666">
      <c r="L666" s="30" t="n"/>
      <c r="Y666" s="30" t="n"/>
      <c r="Z666" s="30" t="n"/>
    </row>
    <row r="667">
      <c r="L667" s="30" t="n"/>
      <c r="Y667" s="30" t="n"/>
      <c r="Z667" s="30" t="n"/>
    </row>
    <row r="668">
      <c r="L668" s="30" t="n"/>
      <c r="Y668" s="30" t="n"/>
      <c r="Z668" s="30" t="n"/>
    </row>
    <row r="669">
      <c r="L669" s="30" t="n"/>
      <c r="Y669" s="30" t="n"/>
      <c r="Z669" s="30" t="n"/>
    </row>
    <row r="670">
      <c r="L670" s="30" t="n"/>
      <c r="Y670" s="30" t="n"/>
      <c r="Z670" s="30" t="n"/>
    </row>
    <row r="671">
      <c r="L671" s="30" t="n"/>
      <c r="Y671" s="30" t="n"/>
      <c r="Z671" s="30" t="n"/>
    </row>
    <row r="672">
      <c r="L672" s="30" t="n"/>
      <c r="Y672" s="30" t="n"/>
      <c r="Z672" s="30" t="n"/>
    </row>
    <row r="673">
      <c r="L673" s="30" t="n"/>
      <c r="Y673" s="30" t="n"/>
      <c r="Z673" s="30" t="n"/>
    </row>
    <row r="674">
      <c r="L674" s="30" t="n"/>
      <c r="Y674" s="30" t="n"/>
      <c r="Z674" s="30" t="n"/>
    </row>
    <row r="675">
      <c r="L675" s="30" t="n"/>
      <c r="Y675" s="30" t="n"/>
      <c r="Z675" s="30" t="n"/>
    </row>
    <row r="676">
      <c r="L676" s="30" t="n"/>
      <c r="Y676" s="30" t="n"/>
      <c r="Z676" s="30" t="n"/>
    </row>
    <row r="677">
      <c r="L677" s="30" t="n"/>
      <c r="Y677" s="30" t="n"/>
      <c r="Z677" s="30" t="n"/>
    </row>
    <row r="678">
      <c r="L678" s="30" t="n"/>
      <c r="Y678" s="30" t="n"/>
      <c r="Z678" s="30" t="n"/>
    </row>
    <row r="679">
      <c r="L679" s="30" t="n"/>
      <c r="Y679" s="30" t="n"/>
      <c r="Z679" s="30" t="n"/>
    </row>
    <row r="680">
      <c r="L680" s="30" t="n"/>
      <c r="Y680" s="30" t="n"/>
      <c r="Z680" s="30" t="n"/>
    </row>
    <row r="681">
      <c r="L681" s="30" t="n"/>
      <c r="Y681" s="30" t="n"/>
      <c r="Z681" s="30" t="n"/>
    </row>
    <row r="682">
      <c r="L682" s="30" t="n"/>
      <c r="Y682" s="30" t="n"/>
      <c r="Z682" s="30" t="n"/>
    </row>
    <row r="683">
      <c r="L683" s="30" t="n"/>
      <c r="Y683" s="30" t="n"/>
      <c r="Z683" s="30" t="n"/>
    </row>
    <row r="684">
      <c r="L684" s="30" t="n"/>
      <c r="Y684" s="30" t="n"/>
      <c r="Z684" s="30" t="n"/>
    </row>
    <row r="685">
      <c r="L685" s="30" t="n"/>
      <c r="Y685" s="30" t="n"/>
      <c r="Z685" s="30" t="n"/>
    </row>
    <row r="686">
      <c r="L686" s="30" t="n"/>
      <c r="Y686" s="30" t="n"/>
      <c r="Z686" s="30" t="n"/>
    </row>
    <row r="687">
      <c r="L687" s="30" t="n"/>
      <c r="Y687" s="30" t="n"/>
      <c r="Z687" s="30" t="n"/>
    </row>
    <row r="688">
      <c r="L688" s="30" t="n"/>
      <c r="Y688" s="30" t="n"/>
      <c r="Z688" s="30" t="n"/>
    </row>
    <row r="689">
      <c r="L689" s="30" t="n"/>
      <c r="Y689" s="30" t="n"/>
      <c r="Z689" s="30" t="n"/>
    </row>
    <row r="690">
      <c r="L690" s="30" t="n"/>
      <c r="Y690" s="30" t="n"/>
      <c r="Z690" s="30" t="n"/>
    </row>
    <row r="691">
      <c r="L691" s="30" t="n"/>
      <c r="Y691" s="30" t="n"/>
      <c r="Z691" s="30" t="n"/>
    </row>
    <row r="692">
      <c r="L692" s="30" t="n"/>
      <c r="Y692" s="30" t="n"/>
      <c r="Z692" s="30" t="n"/>
    </row>
    <row r="693">
      <c r="L693" s="30" t="n"/>
      <c r="Y693" s="30" t="n"/>
      <c r="Z693" s="30" t="n"/>
    </row>
    <row r="694">
      <c r="L694" s="30" t="n"/>
      <c r="Y694" s="30" t="n"/>
      <c r="Z694" s="30" t="n"/>
    </row>
    <row r="695">
      <c r="L695" s="30" t="n"/>
      <c r="Y695" s="30" t="n"/>
      <c r="Z695" s="30" t="n"/>
    </row>
    <row r="696">
      <c r="L696" s="30" t="n"/>
      <c r="Y696" s="30" t="n"/>
      <c r="Z696" s="30" t="n"/>
    </row>
    <row r="697">
      <c r="L697" s="30" t="n"/>
      <c r="Y697" s="30" t="n"/>
      <c r="Z697" s="30" t="n"/>
    </row>
    <row r="698">
      <c r="L698" s="30" t="n"/>
      <c r="Y698" s="30" t="n"/>
      <c r="Z698" s="30" t="n"/>
    </row>
    <row r="699">
      <c r="L699" s="30" t="n"/>
      <c r="Y699" s="30" t="n"/>
      <c r="Z699" s="30" t="n"/>
    </row>
    <row r="700">
      <c r="L700" s="30" t="n"/>
      <c r="Y700" s="30" t="n"/>
      <c r="Z700" s="30" t="n"/>
    </row>
    <row r="701">
      <c r="L701" s="30" t="n"/>
      <c r="Y701" s="30" t="n"/>
      <c r="Z701" s="30" t="n"/>
    </row>
    <row r="702">
      <c r="L702" s="30" t="n"/>
      <c r="Y702" s="30" t="n"/>
      <c r="Z702" s="30" t="n"/>
    </row>
    <row r="703">
      <c r="L703" s="30" t="n"/>
      <c r="Y703" s="30" t="n"/>
      <c r="Z703" s="30" t="n"/>
    </row>
    <row r="704">
      <c r="L704" s="30" t="n"/>
      <c r="Y704" s="30" t="n"/>
      <c r="Z704" s="30" t="n"/>
    </row>
    <row r="705">
      <c r="L705" s="30" t="n"/>
      <c r="Y705" s="30" t="n"/>
      <c r="Z705" s="30" t="n"/>
    </row>
    <row r="706">
      <c r="L706" s="30" t="n"/>
      <c r="Y706" s="30" t="n"/>
      <c r="Z706" s="30" t="n"/>
    </row>
    <row r="707">
      <c r="L707" s="30" t="n"/>
      <c r="Y707" s="30" t="n"/>
      <c r="Z707" s="30" t="n"/>
    </row>
    <row r="708">
      <c r="L708" s="30" t="n"/>
      <c r="Y708" s="30" t="n"/>
      <c r="Z708" s="30" t="n"/>
    </row>
    <row r="709">
      <c r="L709" s="30" t="n"/>
      <c r="Y709" s="30" t="n"/>
      <c r="Z709" s="30" t="n"/>
    </row>
    <row r="710">
      <c r="L710" s="30" t="n"/>
      <c r="Y710" s="30" t="n"/>
      <c r="Z710" s="30" t="n"/>
    </row>
    <row r="711">
      <c r="L711" s="30" t="n"/>
      <c r="Y711" s="30" t="n"/>
      <c r="Z711" s="30" t="n"/>
    </row>
    <row r="712">
      <c r="L712" s="30" t="n"/>
      <c r="Y712" s="30" t="n"/>
      <c r="Z712" s="30" t="n"/>
    </row>
    <row r="713">
      <c r="L713" s="30" t="n"/>
      <c r="Y713" s="30" t="n"/>
      <c r="Z713" s="30" t="n"/>
    </row>
    <row r="714">
      <c r="L714" s="30" t="n"/>
      <c r="Y714" s="30" t="n"/>
      <c r="Z714" s="30" t="n"/>
    </row>
    <row r="715">
      <c r="L715" s="30" t="n"/>
      <c r="Y715" s="30" t="n"/>
      <c r="Z715" s="30" t="n"/>
    </row>
    <row r="716">
      <c r="L716" s="30" t="n"/>
      <c r="Y716" s="30" t="n"/>
      <c r="Z716" s="30" t="n"/>
    </row>
    <row r="717">
      <c r="L717" s="30" t="n"/>
      <c r="Y717" s="30" t="n"/>
      <c r="Z717" s="30" t="n"/>
    </row>
    <row r="718">
      <c r="L718" s="30" t="n"/>
      <c r="Y718" s="30" t="n"/>
      <c r="Z718" s="30" t="n"/>
    </row>
    <row r="719">
      <c r="L719" s="30" t="n"/>
      <c r="Y719" s="30" t="n"/>
      <c r="Z719" s="30" t="n"/>
    </row>
    <row r="720">
      <c r="L720" s="30" t="n"/>
      <c r="Y720" s="30" t="n"/>
      <c r="Z720" s="30" t="n"/>
    </row>
    <row r="721">
      <c r="L721" s="30" t="n"/>
      <c r="Y721" s="30" t="n"/>
      <c r="Z721" s="30" t="n"/>
    </row>
    <row r="722">
      <c r="L722" s="30" t="n"/>
      <c r="Y722" s="30" t="n"/>
      <c r="Z722" s="30" t="n"/>
    </row>
    <row r="723">
      <c r="L723" s="30" t="n"/>
      <c r="Y723" s="30" t="n"/>
      <c r="Z723" s="30" t="n"/>
    </row>
    <row r="724">
      <c r="L724" s="30" t="n"/>
      <c r="Y724" s="30" t="n"/>
      <c r="Z724" s="30" t="n"/>
    </row>
    <row r="725">
      <c r="L725" s="30" t="n"/>
      <c r="Y725" s="30" t="n"/>
      <c r="Z725" s="30" t="n"/>
    </row>
    <row r="726">
      <c r="L726" s="30" t="n"/>
      <c r="Y726" s="30" t="n"/>
      <c r="Z726" s="30" t="n"/>
    </row>
    <row r="727">
      <c r="L727" s="30" t="n"/>
      <c r="Y727" s="30" t="n"/>
      <c r="Z727" s="30" t="n"/>
    </row>
    <row r="728">
      <c r="L728" s="30" t="n"/>
      <c r="Y728" s="30" t="n"/>
      <c r="Z728" s="30" t="n"/>
    </row>
    <row r="729">
      <c r="L729" s="30" t="n"/>
      <c r="Y729" s="30" t="n"/>
      <c r="Z729" s="30" t="n"/>
    </row>
    <row r="730">
      <c r="L730" s="30" t="n"/>
      <c r="Y730" s="30" t="n"/>
      <c r="Z730" s="30" t="n"/>
    </row>
    <row r="731">
      <c r="L731" s="30" t="n"/>
      <c r="Y731" s="30" t="n"/>
      <c r="Z731" s="30" t="n"/>
    </row>
    <row r="732">
      <c r="L732" s="30" t="n"/>
      <c r="Y732" s="30" t="n"/>
      <c r="Z732" s="30" t="n"/>
    </row>
    <row r="733">
      <c r="L733" s="30" t="n"/>
      <c r="Y733" s="30" t="n"/>
      <c r="Z733" s="30" t="n"/>
    </row>
    <row r="734">
      <c r="L734" s="30" t="n"/>
      <c r="Y734" s="30" t="n"/>
      <c r="Z734" s="30" t="n"/>
    </row>
    <row r="735">
      <c r="L735" s="30" t="n"/>
      <c r="Y735" s="30" t="n"/>
      <c r="Z735" s="30" t="n"/>
    </row>
    <row r="736">
      <c r="L736" s="30" t="n"/>
      <c r="Y736" s="30" t="n"/>
      <c r="Z736" s="30" t="n"/>
    </row>
    <row r="737">
      <c r="L737" s="30" t="n"/>
      <c r="Y737" s="30" t="n"/>
      <c r="Z737" s="30" t="n"/>
    </row>
    <row r="738">
      <c r="L738" s="30" t="n"/>
      <c r="Y738" s="30" t="n"/>
      <c r="Z738" s="30" t="n"/>
    </row>
    <row r="739">
      <c r="L739" s="30" t="n"/>
      <c r="Y739" s="30" t="n"/>
      <c r="Z739" s="30" t="n"/>
    </row>
    <row r="740">
      <c r="L740" s="30" t="n"/>
      <c r="Y740" s="30" t="n"/>
      <c r="Z740" s="30" t="n"/>
    </row>
    <row r="741">
      <c r="L741" s="30" t="n"/>
      <c r="Y741" s="30" t="n"/>
      <c r="Z741" s="30" t="n"/>
    </row>
    <row r="742">
      <c r="L742" s="30" t="n"/>
      <c r="Y742" s="30" t="n"/>
      <c r="Z742" s="30" t="n"/>
    </row>
    <row r="743">
      <c r="L743" s="30" t="n"/>
      <c r="Y743" s="30" t="n"/>
      <c r="Z743" s="30" t="n"/>
    </row>
    <row r="744">
      <c r="L744" s="30" t="n"/>
      <c r="Y744" s="30" t="n"/>
      <c r="Z744" s="30" t="n"/>
    </row>
    <row r="745">
      <c r="L745" s="30" t="n"/>
      <c r="Y745" s="30" t="n"/>
      <c r="Z745" s="30" t="n"/>
    </row>
    <row r="746">
      <c r="L746" s="30" t="n"/>
      <c r="Y746" s="30" t="n"/>
      <c r="Z746" s="30" t="n"/>
    </row>
    <row r="747">
      <c r="L747" s="30" t="n"/>
      <c r="Y747" s="30" t="n"/>
      <c r="Z747" s="30" t="n"/>
    </row>
    <row r="748">
      <c r="L748" s="30" t="n"/>
      <c r="Y748" s="30" t="n"/>
      <c r="Z748" s="30" t="n"/>
    </row>
    <row r="749">
      <c r="L749" s="30" t="n"/>
      <c r="Y749" s="30" t="n"/>
      <c r="Z749" s="30" t="n"/>
    </row>
    <row r="750">
      <c r="L750" s="30" t="n"/>
      <c r="Y750" s="30" t="n"/>
      <c r="Z750" s="30" t="n"/>
    </row>
    <row r="751">
      <c r="L751" s="30" t="n"/>
      <c r="Y751" s="30" t="n"/>
      <c r="Z751" s="30" t="n"/>
    </row>
    <row r="752">
      <c r="L752" s="30" t="n"/>
      <c r="Y752" s="30" t="n"/>
      <c r="Z752" s="30" t="n"/>
    </row>
    <row r="753">
      <c r="L753" s="30" t="n"/>
      <c r="Y753" s="30" t="n"/>
      <c r="Z753" s="30" t="n"/>
    </row>
    <row r="754">
      <c r="L754" s="30" t="n"/>
      <c r="Y754" s="30" t="n"/>
      <c r="Z754" s="30" t="n"/>
    </row>
    <row r="755">
      <c r="L755" s="30" t="n"/>
      <c r="Y755" s="30" t="n"/>
      <c r="Z755" s="30" t="n"/>
    </row>
    <row r="756">
      <c r="L756" s="30" t="n"/>
      <c r="Y756" s="30" t="n"/>
      <c r="Z756" s="30" t="n"/>
    </row>
    <row r="757">
      <c r="L757" s="30" t="n"/>
      <c r="Y757" s="30" t="n"/>
      <c r="Z757" s="30" t="n"/>
    </row>
    <row r="758">
      <c r="L758" s="30" t="n"/>
      <c r="Y758" s="30" t="n"/>
      <c r="Z758" s="30" t="n"/>
    </row>
    <row r="759">
      <c r="L759" s="30" t="n"/>
      <c r="Y759" s="30" t="n"/>
      <c r="Z759" s="30" t="n"/>
    </row>
    <row r="760">
      <c r="L760" s="30" t="n"/>
      <c r="Y760" s="30" t="n"/>
      <c r="Z760" s="30" t="n"/>
    </row>
    <row r="761">
      <c r="L761" s="30" t="n"/>
      <c r="Y761" s="30" t="n"/>
      <c r="Z761" s="30" t="n"/>
    </row>
    <row r="762">
      <c r="L762" s="30" t="n"/>
      <c r="Y762" s="30" t="n"/>
      <c r="Z762" s="30" t="n"/>
    </row>
    <row r="763">
      <c r="L763" s="30" t="n"/>
      <c r="Y763" s="30" t="n"/>
      <c r="Z763" s="30" t="n"/>
    </row>
    <row r="764">
      <c r="L764" s="30" t="n"/>
      <c r="Y764" s="30" t="n"/>
      <c r="Z764" s="30" t="n"/>
    </row>
    <row r="765">
      <c r="L765" s="30" t="n"/>
      <c r="Y765" s="30" t="n"/>
      <c r="Z765" s="30" t="n"/>
    </row>
    <row r="766">
      <c r="L766" s="30" t="n"/>
      <c r="Y766" s="30" t="n"/>
      <c r="Z766" s="30" t="n"/>
    </row>
    <row r="767">
      <c r="L767" s="30" t="n"/>
      <c r="Y767" s="30" t="n"/>
      <c r="Z767" s="30" t="n"/>
    </row>
    <row r="768">
      <c r="L768" s="30" t="n"/>
      <c r="Y768" s="30" t="n"/>
      <c r="Z768" s="30" t="n"/>
    </row>
    <row r="769">
      <c r="L769" s="30" t="n"/>
      <c r="Y769" s="30" t="n"/>
      <c r="Z769" s="30" t="n"/>
    </row>
    <row r="770">
      <c r="L770" s="30" t="n"/>
      <c r="Y770" s="30" t="n"/>
      <c r="Z770" s="30" t="n"/>
    </row>
    <row r="771">
      <c r="L771" s="30" t="n"/>
      <c r="Y771" s="30" t="n"/>
      <c r="Z771" s="30" t="n"/>
    </row>
    <row r="772">
      <c r="L772" s="30" t="n"/>
      <c r="Y772" s="30" t="n"/>
      <c r="Z772" s="30" t="n"/>
    </row>
    <row r="773">
      <c r="L773" s="30" t="n"/>
      <c r="Y773" s="30" t="n"/>
      <c r="Z773" s="30" t="n"/>
    </row>
    <row r="774">
      <c r="L774" s="30" t="n"/>
      <c r="Y774" s="30" t="n"/>
      <c r="Z774" s="30" t="n"/>
    </row>
    <row r="775">
      <c r="L775" s="30" t="n"/>
      <c r="Y775" s="30" t="n"/>
      <c r="Z775" s="30" t="n"/>
    </row>
    <row r="776">
      <c r="L776" s="30" t="n"/>
      <c r="Y776" s="30" t="n"/>
      <c r="Z776" s="30" t="n"/>
    </row>
    <row r="777">
      <c r="L777" s="30" t="n"/>
      <c r="Y777" s="30" t="n"/>
      <c r="Z777" s="30" t="n"/>
    </row>
    <row r="778">
      <c r="L778" s="30" t="n"/>
      <c r="Y778" s="30" t="n"/>
      <c r="Z778" s="30" t="n"/>
    </row>
    <row r="779">
      <c r="L779" s="30" t="n"/>
      <c r="Y779" s="30" t="n"/>
      <c r="Z779" s="30" t="n"/>
    </row>
    <row r="780">
      <c r="L780" s="30" t="n"/>
      <c r="Y780" s="30" t="n"/>
      <c r="Z780" s="30" t="n"/>
    </row>
    <row r="781">
      <c r="L781" s="30" t="n"/>
      <c r="Y781" s="30" t="n"/>
      <c r="Z781" s="30" t="n"/>
    </row>
    <row r="782">
      <c r="L782" s="30" t="n"/>
      <c r="Y782" s="30" t="n"/>
      <c r="Z782" s="30" t="n"/>
    </row>
    <row r="783">
      <c r="L783" s="30" t="n"/>
      <c r="Y783" s="30" t="n"/>
      <c r="Z783" s="30" t="n"/>
    </row>
    <row r="784">
      <c r="L784" s="30" t="n"/>
      <c r="Y784" s="30" t="n"/>
      <c r="Z784" s="30" t="n"/>
    </row>
    <row r="785">
      <c r="L785" s="30" t="n"/>
      <c r="Y785" s="30" t="n"/>
      <c r="Z785" s="30" t="n"/>
    </row>
    <row r="786">
      <c r="L786" s="30" t="n"/>
      <c r="Y786" s="30" t="n"/>
      <c r="Z786" s="30" t="n"/>
    </row>
    <row r="787">
      <c r="L787" s="30" t="n"/>
      <c r="Y787" s="30" t="n"/>
      <c r="Z787" s="30" t="n"/>
    </row>
    <row r="788">
      <c r="L788" s="30" t="n"/>
      <c r="Y788" s="30" t="n"/>
      <c r="Z788" s="30" t="n"/>
    </row>
    <row r="789">
      <c r="L789" s="30" t="n"/>
      <c r="Y789" s="30" t="n"/>
      <c r="Z789" s="30" t="n"/>
    </row>
    <row r="790">
      <c r="L790" s="30" t="n"/>
      <c r="Y790" s="30" t="n"/>
      <c r="Z790" s="30" t="n"/>
    </row>
    <row r="791">
      <c r="L791" s="30" t="n"/>
      <c r="Y791" s="30" t="n"/>
      <c r="Z791" s="30" t="n"/>
    </row>
    <row r="792">
      <c r="L792" s="30" t="n"/>
      <c r="Y792" s="30" t="n"/>
      <c r="Z792" s="30" t="n"/>
    </row>
    <row r="793">
      <c r="L793" s="30" t="n"/>
      <c r="Y793" s="30" t="n"/>
      <c r="Z793" s="30" t="n"/>
    </row>
    <row r="794">
      <c r="L794" s="30" t="n"/>
      <c r="Y794" s="30" t="n"/>
      <c r="Z794" s="30" t="n"/>
    </row>
    <row r="795">
      <c r="L795" s="30" t="n"/>
      <c r="Y795" s="30" t="n"/>
      <c r="Z795" s="30" t="n"/>
    </row>
    <row r="796">
      <c r="L796" s="30" t="n"/>
      <c r="Y796" s="30" t="n"/>
      <c r="Z796" s="30" t="n"/>
    </row>
    <row r="797">
      <c r="L797" s="30" t="n"/>
      <c r="Y797" s="30" t="n"/>
      <c r="Z797" s="30" t="n"/>
    </row>
    <row r="798">
      <c r="L798" s="30" t="n"/>
      <c r="Y798" s="30" t="n"/>
      <c r="Z798" s="30" t="n"/>
    </row>
    <row r="799">
      <c r="L799" s="30" t="n"/>
      <c r="Y799" s="30" t="n"/>
      <c r="Z799" s="30" t="n"/>
    </row>
    <row r="800">
      <c r="L800" s="30" t="n"/>
      <c r="Y800" s="30" t="n"/>
      <c r="Z800" s="30" t="n"/>
    </row>
    <row r="801">
      <c r="L801" s="30" t="n"/>
      <c r="Y801" s="30" t="n"/>
      <c r="Z801" s="30" t="n"/>
    </row>
    <row r="802">
      <c r="L802" s="30" t="n"/>
      <c r="Y802" s="30" t="n"/>
      <c r="Z802" s="30" t="n"/>
    </row>
    <row r="803">
      <c r="L803" s="30" t="n"/>
      <c r="Y803" s="30" t="n"/>
      <c r="Z803" s="30" t="n"/>
    </row>
    <row r="804">
      <c r="L804" s="30" t="n"/>
      <c r="Y804" s="30" t="n"/>
      <c r="Z804" s="30" t="n"/>
    </row>
    <row r="805">
      <c r="L805" s="30" t="n"/>
      <c r="Y805" s="30" t="n"/>
      <c r="Z805" s="30" t="n"/>
    </row>
    <row r="806">
      <c r="L806" s="30" t="n"/>
      <c r="Y806" s="30" t="n"/>
      <c r="Z806" s="30" t="n"/>
    </row>
    <row r="807">
      <c r="L807" s="30" t="n"/>
      <c r="Y807" s="30" t="n"/>
      <c r="Z807" s="30" t="n"/>
    </row>
    <row r="808">
      <c r="L808" s="30" t="n"/>
      <c r="Y808" s="30" t="n"/>
      <c r="Z808" s="30" t="n"/>
    </row>
    <row r="809">
      <c r="L809" s="30" t="n"/>
      <c r="Y809" s="30" t="n"/>
      <c r="Z809" s="30" t="n"/>
    </row>
    <row r="810">
      <c r="L810" s="30" t="n"/>
      <c r="Y810" s="30" t="n"/>
      <c r="Z810" s="30" t="n"/>
    </row>
    <row r="811">
      <c r="L811" s="30" t="n"/>
      <c r="Y811" s="30" t="n"/>
      <c r="Z811" s="30" t="n"/>
    </row>
    <row r="812">
      <c r="L812" s="30" t="n"/>
      <c r="Y812" s="30" t="n"/>
      <c r="Z812" s="30" t="n"/>
    </row>
    <row r="813">
      <c r="L813" s="30" t="n"/>
      <c r="Y813" s="30" t="n"/>
      <c r="Z813" s="30" t="n"/>
    </row>
    <row r="814">
      <c r="L814" s="30" t="n"/>
      <c r="Y814" s="30" t="n"/>
      <c r="Z814" s="30" t="n"/>
    </row>
    <row r="815">
      <c r="L815" s="30" t="n"/>
      <c r="Y815" s="30" t="n"/>
      <c r="Z815" s="30" t="n"/>
    </row>
    <row r="816">
      <c r="L816" s="30" t="n"/>
      <c r="Y816" s="30" t="n"/>
      <c r="Z816" s="30" t="n"/>
    </row>
    <row r="817">
      <c r="L817" s="30" t="n"/>
      <c r="Y817" s="30" t="n"/>
      <c r="Z817" s="30" t="n"/>
    </row>
    <row r="818">
      <c r="L818" s="30" t="n"/>
      <c r="Y818" s="30" t="n"/>
      <c r="Z818" s="30" t="n"/>
    </row>
    <row r="819">
      <c r="L819" s="30" t="n"/>
      <c r="Y819" s="30" t="n"/>
      <c r="Z819" s="30" t="n"/>
    </row>
    <row r="820">
      <c r="L820" s="30" t="n"/>
      <c r="Y820" s="30" t="n"/>
      <c r="Z820" s="30" t="n"/>
    </row>
    <row r="821">
      <c r="L821" s="30" t="n"/>
      <c r="Y821" s="30" t="n"/>
      <c r="Z821" s="30" t="n"/>
    </row>
    <row r="822">
      <c r="L822" s="30" t="n"/>
      <c r="Y822" s="30" t="n"/>
      <c r="Z822" s="30" t="n"/>
    </row>
    <row r="823">
      <c r="L823" s="30" t="n"/>
      <c r="Y823" s="30" t="n"/>
      <c r="Z823" s="30" t="n"/>
    </row>
    <row r="824">
      <c r="L824" s="30" t="n"/>
      <c r="Y824" s="30" t="n"/>
      <c r="Z824" s="30" t="n"/>
    </row>
    <row r="825">
      <c r="L825" s="30" t="n"/>
      <c r="Y825" s="30" t="n"/>
      <c r="Z825" s="30" t="n"/>
    </row>
    <row r="826">
      <c r="L826" s="30" t="n"/>
      <c r="Y826" s="30" t="n"/>
      <c r="Z826" s="30" t="n"/>
    </row>
    <row r="827">
      <c r="L827" s="30" t="n"/>
      <c r="Y827" s="30" t="n"/>
      <c r="Z827" s="30" t="n"/>
    </row>
    <row r="828">
      <c r="L828" s="30" t="n"/>
      <c r="Y828" s="30" t="n"/>
      <c r="Z828" s="30" t="n"/>
    </row>
    <row r="829">
      <c r="L829" s="30" t="n"/>
      <c r="Y829" s="30" t="n"/>
      <c r="Z829" s="30" t="n"/>
    </row>
    <row r="830">
      <c r="L830" s="30" t="n"/>
      <c r="Y830" s="30" t="n"/>
      <c r="Z830" s="30" t="n"/>
    </row>
    <row r="831">
      <c r="L831" s="30" t="n"/>
      <c r="Y831" s="30" t="n"/>
      <c r="Z831" s="30" t="n"/>
    </row>
    <row r="832">
      <c r="L832" s="30" t="n"/>
      <c r="Y832" s="30" t="n"/>
      <c r="Z832" s="30" t="n"/>
    </row>
    <row r="833">
      <c r="L833" s="30" t="n"/>
      <c r="Y833" s="30" t="n"/>
      <c r="Z833" s="30" t="n"/>
    </row>
    <row r="834">
      <c r="L834" s="30" t="n"/>
      <c r="Y834" s="30" t="n"/>
      <c r="Z834" s="30" t="n"/>
    </row>
    <row r="835">
      <c r="L835" s="30" t="n"/>
      <c r="Y835" s="30" t="n"/>
      <c r="Z835" s="30" t="n"/>
    </row>
    <row r="836">
      <c r="L836" s="30" t="n"/>
      <c r="Y836" s="30" t="n"/>
      <c r="Z836" s="30" t="n"/>
    </row>
    <row r="837">
      <c r="L837" s="30" t="n"/>
      <c r="Y837" s="30" t="n"/>
      <c r="Z837" s="30" t="n"/>
    </row>
    <row r="838">
      <c r="L838" s="30" t="n"/>
      <c r="Y838" s="30" t="n"/>
      <c r="Z838" s="30" t="n"/>
    </row>
    <row r="839">
      <c r="L839" s="30" t="n"/>
      <c r="Y839" s="30" t="n"/>
      <c r="Z839" s="30" t="n"/>
    </row>
    <row r="840">
      <c r="L840" s="30" t="n"/>
      <c r="Y840" s="30" t="n"/>
      <c r="Z840" s="30" t="n"/>
    </row>
    <row r="841">
      <c r="L841" s="30" t="n"/>
      <c r="Y841" s="30" t="n"/>
      <c r="Z841" s="30" t="n"/>
    </row>
    <row r="842">
      <c r="L842" s="30" t="n"/>
      <c r="Y842" s="30" t="n"/>
      <c r="Z842" s="30" t="n"/>
    </row>
    <row r="843">
      <c r="L843" s="30" t="n"/>
      <c r="Y843" s="30" t="n"/>
      <c r="Z843" s="30" t="n"/>
    </row>
    <row r="844">
      <c r="L844" s="30" t="n"/>
      <c r="Y844" s="30" t="n"/>
      <c r="Z844" s="30" t="n"/>
    </row>
    <row r="845">
      <c r="L845" s="30" t="n"/>
      <c r="Y845" s="30" t="n"/>
      <c r="Z845" s="30" t="n"/>
    </row>
    <row r="846">
      <c r="L846" s="30" t="n"/>
      <c r="Y846" s="30" t="n"/>
      <c r="Z846" s="30" t="n"/>
    </row>
    <row r="847">
      <c r="L847" s="30" t="n"/>
      <c r="Y847" s="30" t="n"/>
      <c r="Z847" s="30" t="n"/>
    </row>
    <row r="848">
      <c r="L848" s="30" t="n"/>
      <c r="Y848" s="30" t="n"/>
      <c r="Z848" s="30" t="n"/>
    </row>
    <row r="849">
      <c r="L849" s="30" t="n"/>
      <c r="Y849" s="30" t="n"/>
      <c r="Z849" s="30" t="n"/>
    </row>
    <row r="850">
      <c r="L850" s="30" t="n"/>
      <c r="Y850" s="30" t="n"/>
      <c r="Z850" s="30" t="n"/>
    </row>
    <row r="851">
      <c r="L851" s="30" t="n"/>
      <c r="Y851" s="30" t="n"/>
      <c r="Z851" s="30" t="n"/>
    </row>
    <row r="852">
      <c r="L852" s="30" t="n"/>
      <c r="Y852" s="30" t="n"/>
      <c r="Z852" s="30" t="n"/>
    </row>
    <row r="853">
      <c r="L853" s="30" t="n"/>
      <c r="Y853" s="30" t="n"/>
      <c r="Z853" s="30" t="n"/>
    </row>
    <row r="854">
      <c r="L854" s="30" t="n"/>
      <c r="Y854" s="30" t="n"/>
      <c r="Z854" s="30" t="n"/>
    </row>
    <row r="855">
      <c r="L855" s="30" t="n"/>
      <c r="Y855" s="30" t="n"/>
      <c r="Z855" s="30" t="n"/>
    </row>
    <row r="856">
      <c r="L856" s="30" t="n"/>
      <c r="Y856" s="30" t="n"/>
      <c r="Z856" s="30" t="n"/>
    </row>
    <row r="857">
      <c r="L857" s="30" t="n"/>
      <c r="Y857" s="30" t="n"/>
      <c r="Z857" s="30" t="n"/>
    </row>
    <row r="858">
      <c r="L858" s="30" t="n"/>
      <c r="Y858" s="30" t="n"/>
      <c r="Z858" s="30" t="n"/>
    </row>
    <row r="859">
      <c r="L859" s="30" t="n"/>
      <c r="Y859" s="30" t="n"/>
      <c r="Z859" s="30" t="n"/>
    </row>
    <row r="860">
      <c r="L860" s="30" t="n"/>
      <c r="Y860" s="30" t="n"/>
      <c r="Z860" s="30" t="n"/>
    </row>
    <row r="861">
      <c r="L861" s="30" t="n"/>
      <c r="Y861" s="30" t="n"/>
      <c r="Z861" s="30" t="n"/>
    </row>
    <row r="862">
      <c r="L862" s="30" t="n"/>
      <c r="Y862" s="30" t="n"/>
      <c r="Z862" s="30" t="n"/>
    </row>
    <row r="863">
      <c r="L863" s="30" t="n"/>
      <c r="Y863" s="30" t="n"/>
      <c r="Z863" s="30" t="n"/>
    </row>
    <row r="864">
      <c r="L864" s="30" t="n"/>
      <c r="Y864" s="30" t="n"/>
      <c r="Z864" s="30" t="n"/>
    </row>
    <row r="865">
      <c r="L865" s="30" t="n"/>
      <c r="Y865" s="30" t="n"/>
      <c r="Z865" s="30" t="n"/>
    </row>
    <row r="866">
      <c r="L866" s="30" t="n"/>
      <c r="Y866" s="30" t="n"/>
      <c r="Z866" s="30" t="n"/>
    </row>
    <row r="867">
      <c r="L867" s="30" t="n"/>
      <c r="Y867" s="30" t="n"/>
      <c r="Z867" s="30" t="n"/>
    </row>
    <row r="868">
      <c r="L868" s="30" t="n"/>
      <c r="Y868" s="30" t="n"/>
      <c r="Z868" s="30" t="n"/>
    </row>
    <row r="869">
      <c r="L869" s="30" t="n"/>
      <c r="Y869" s="30" t="n"/>
      <c r="Z869" s="30" t="n"/>
    </row>
    <row r="870">
      <c r="L870" s="30" t="n"/>
      <c r="Y870" s="30" t="n"/>
      <c r="Z870" s="30" t="n"/>
    </row>
    <row r="871">
      <c r="L871" s="30" t="n"/>
      <c r="Y871" s="30" t="n"/>
      <c r="Z871" s="30" t="n"/>
    </row>
    <row r="872">
      <c r="L872" s="30" t="n"/>
      <c r="Y872" s="30" t="n"/>
      <c r="Z872" s="30" t="n"/>
    </row>
    <row r="873">
      <c r="L873" s="30" t="n"/>
      <c r="Y873" s="30" t="n"/>
      <c r="Z873" s="30" t="n"/>
    </row>
    <row r="874">
      <c r="L874" s="30" t="n"/>
      <c r="Y874" s="30" t="n"/>
      <c r="Z874" s="30" t="n"/>
    </row>
    <row r="875">
      <c r="L875" s="30" t="n"/>
      <c r="Y875" s="30" t="n"/>
      <c r="Z875" s="30" t="n"/>
    </row>
    <row r="876">
      <c r="L876" s="30" t="n"/>
      <c r="Y876" s="30" t="n"/>
      <c r="Z876" s="30" t="n"/>
    </row>
    <row r="877">
      <c r="L877" s="30" t="n"/>
      <c r="Y877" s="30" t="n"/>
      <c r="Z877" s="30" t="n"/>
    </row>
    <row r="878">
      <c r="L878" s="30" t="n"/>
      <c r="Y878" s="30" t="n"/>
      <c r="Z878" s="30" t="n"/>
    </row>
    <row r="879">
      <c r="L879" s="30" t="n"/>
      <c r="Y879" s="30" t="n"/>
      <c r="Z879" s="30" t="n"/>
    </row>
    <row r="880">
      <c r="L880" s="30" t="n"/>
      <c r="Y880" s="30" t="n"/>
      <c r="Z880" s="30" t="n"/>
    </row>
    <row r="881">
      <c r="L881" s="30" t="n"/>
      <c r="Y881" s="30" t="n"/>
      <c r="Z881" s="30" t="n"/>
    </row>
    <row r="882">
      <c r="L882" s="30" t="n"/>
      <c r="Y882" s="30" t="n"/>
      <c r="Z882" s="30" t="n"/>
    </row>
    <row r="883">
      <c r="L883" s="30" t="n"/>
      <c r="Y883" s="30" t="n"/>
      <c r="Z883" s="30" t="n"/>
    </row>
    <row r="884">
      <c r="L884" s="30" t="n"/>
      <c r="Y884" s="30" t="n"/>
      <c r="Z884" s="30" t="n"/>
    </row>
    <row r="885">
      <c r="L885" s="30" t="n"/>
      <c r="Y885" s="30" t="n"/>
      <c r="Z885" s="30" t="n"/>
    </row>
    <row r="886">
      <c r="L886" s="30" t="n"/>
      <c r="Y886" s="30" t="n"/>
      <c r="Z886" s="30" t="n"/>
    </row>
    <row r="887">
      <c r="L887" s="30" t="n"/>
      <c r="Y887" s="30" t="n"/>
      <c r="Z887" s="30" t="n"/>
    </row>
    <row r="888">
      <c r="L888" s="30" t="n"/>
      <c r="Y888" s="30" t="n"/>
      <c r="Z888" s="30" t="n"/>
    </row>
    <row r="889">
      <c r="L889" s="30" t="n"/>
      <c r="Y889" s="30" t="n"/>
      <c r="Z889" s="30" t="n"/>
    </row>
    <row r="890">
      <c r="L890" s="30" t="n"/>
      <c r="Y890" s="30" t="n"/>
      <c r="Z890" s="30" t="n"/>
    </row>
    <row r="891">
      <c r="L891" s="30" t="n"/>
      <c r="Y891" s="30" t="n"/>
      <c r="Z891" s="30" t="n"/>
    </row>
    <row r="892">
      <c r="L892" s="30" t="n"/>
      <c r="Y892" s="30" t="n"/>
      <c r="Z892" s="30" t="n"/>
    </row>
    <row r="893">
      <c r="L893" s="30" t="n"/>
      <c r="Y893" s="30" t="n"/>
      <c r="Z893" s="30" t="n"/>
    </row>
    <row r="894">
      <c r="L894" s="30" t="n"/>
      <c r="Y894" s="30" t="n"/>
      <c r="Z894" s="30" t="n"/>
    </row>
    <row r="895">
      <c r="L895" s="30" t="n"/>
      <c r="Y895" s="30" t="n"/>
      <c r="Z895" s="30" t="n"/>
    </row>
    <row r="896">
      <c r="L896" s="30" t="n"/>
      <c r="Y896" s="30" t="n"/>
      <c r="Z896" s="30" t="n"/>
    </row>
    <row r="897">
      <c r="L897" s="30" t="n"/>
      <c r="Y897" s="30" t="n"/>
      <c r="Z897" s="30" t="n"/>
    </row>
    <row r="898">
      <c r="L898" s="30" t="n"/>
      <c r="Y898" s="30" t="n"/>
      <c r="Z898" s="30" t="n"/>
    </row>
    <row r="899">
      <c r="L899" s="30" t="n"/>
      <c r="Y899" s="30" t="n"/>
      <c r="Z899" s="30" t="n"/>
    </row>
    <row r="900">
      <c r="L900" s="30" t="n"/>
      <c r="Y900" s="30" t="n"/>
      <c r="Z900" s="30" t="n"/>
    </row>
    <row r="901">
      <c r="L901" s="30" t="n"/>
      <c r="Y901" s="30" t="n"/>
      <c r="Z901" s="30" t="n"/>
    </row>
    <row r="902">
      <c r="L902" s="30" t="n"/>
      <c r="Y902" s="30" t="n"/>
      <c r="Z902" s="30" t="n"/>
    </row>
    <row r="903">
      <c r="L903" s="30" t="n"/>
      <c r="Y903" s="30" t="n"/>
      <c r="Z903" s="30" t="n"/>
    </row>
    <row r="904">
      <c r="L904" s="30" t="n"/>
      <c r="Y904" s="30" t="n"/>
      <c r="Z904" s="30" t="n"/>
    </row>
    <row r="905">
      <c r="L905" s="30" t="n"/>
      <c r="Y905" s="30" t="n"/>
      <c r="Z905" s="30" t="n"/>
    </row>
    <row r="906">
      <c r="L906" s="30" t="n"/>
      <c r="Y906" s="30" t="n"/>
      <c r="Z906" s="30" t="n"/>
    </row>
    <row r="907">
      <c r="L907" s="30" t="n"/>
      <c r="Y907" s="30" t="n"/>
      <c r="Z907" s="30" t="n"/>
    </row>
    <row r="908">
      <c r="L908" s="30" t="n"/>
      <c r="Y908" s="30" t="n"/>
      <c r="Z908" s="30" t="n"/>
    </row>
    <row r="909">
      <c r="L909" s="30" t="n"/>
    </row>
    <row r="910">
      <c r="L910" s="30" t="n"/>
    </row>
    <row r="911">
      <c r="L911" s="30" t="n"/>
    </row>
    <row r="912">
      <c r="L912" s="30" t="n"/>
    </row>
    <row r="913">
      <c r="L913" s="30" t="n"/>
    </row>
    <row r="914">
      <c r="L914" s="30" t="n"/>
    </row>
    <row r="915">
      <c r="L915" s="30" t="n"/>
    </row>
    <row r="916">
      <c r="L916" s="30" t="n"/>
    </row>
    <row r="917">
      <c r="L917" s="30" t="n"/>
    </row>
    <row r="918">
      <c r="L918" s="30" t="n"/>
    </row>
    <row r="919">
      <c r="L919" s="30" t="n"/>
    </row>
    <row r="920">
      <c r="L920" s="30" t="n"/>
    </row>
    <row r="921">
      <c r="L921" s="30" t="n"/>
    </row>
    <row r="922">
      <c r="L922" s="30" t="n"/>
    </row>
    <row r="923">
      <c r="L923" s="30" t="n"/>
    </row>
    <row r="924">
      <c r="L924" s="30" t="n"/>
    </row>
    <row r="925">
      <c r="L925" s="30" t="n"/>
    </row>
    <row r="926">
      <c r="L926" s="30" t="n"/>
    </row>
    <row r="927">
      <c r="L927" s="30" t="n"/>
    </row>
    <row r="928">
      <c r="L928" s="30" t="n"/>
    </row>
    <row r="929">
      <c r="L929" s="30" t="n"/>
    </row>
    <row r="930">
      <c r="L930" s="30" t="n"/>
    </row>
    <row r="931">
      <c r="L931" s="30" t="n"/>
    </row>
    <row r="932">
      <c r="L932" s="30" t="n"/>
    </row>
    <row r="933">
      <c r="L933" s="30" t="n"/>
    </row>
    <row r="934">
      <c r="L934" s="30" t="n"/>
    </row>
    <row r="935">
      <c r="L935" s="30" t="n"/>
    </row>
    <row r="936">
      <c r="L936" s="30" t="n"/>
    </row>
    <row r="937">
      <c r="L937" s="30" t="n"/>
    </row>
    <row r="938">
      <c r="L938" s="30" t="n"/>
    </row>
    <row r="939">
      <c r="L939" s="30" t="n"/>
    </row>
    <row r="940">
      <c r="L940" s="30" t="n"/>
    </row>
    <row r="941">
      <c r="L941" s="30" t="n"/>
    </row>
    <row r="942">
      <c r="L942" s="30" t="n"/>
    </row>
    <row r="943">
      <c r="L943" s="30" t="n"/>
    </row>
    <row r="944">
      <c r="L944" s="30" t="n"/>
    </row>
    <row r="945">
      <c r="L945" s="30" t="n"/>
    </row>
    <row r="946">
      <c r="L946" s="30" t="n"/>
    </row>
    <row r="947">
      <c r="L947" s="30" t="n"/>
    </row>
    <row r="948">
      <c r="L948" s="30" t="n"/>
    </row>
    <row r="949">
      <c r="L949" s="30" t="n"/>
    </row>
    <row r="950">
      <c r="L950" s="30" t="n"/>
    </row>
    <row r="951">
      <c r="L951" s="30" t="n"/>
    </row>
    <row r="952">
      <c r="L952" s="30" t="n"/>
    </row>
    <row r="953">
      <c r="L953" s="30" t="n"/>
    </row>
    <row r="954">
      <c r="L954" s="30" t="n"/>
    </row>
    <row r="955">
      <c r="L955" s="30" t="n"/>
    </row>
    <row r="956">
      <c r="L956" s="30" t="n"/>
    </row>
    <row r="957">
      <c r="L957" s="30" t="n"/>
    </row>
    <row r="958">
      <c r="L958" s="30" t="n"/>
    </row>
    <row r="959">
      <c r="L959" s="30" t="n"/>
    </row>
    <row r="960">
      <c r="L960" s="30" t="n"/>
    </row>
    <row r="961">
      <c r="L961" s="30" t="n"/>
    </row>
    <row r="962">
      <c r="L962" s="30" t="n"/>
    </row>
    <row r="963">
      <c r="L963" s="30" t="n"/>
    </row>
    <row r="964">
      <c r="L964" s="30" t="n"/>
    </row>
    <row r="965">
      <c r="L965" s="30" t="n"/>
    </row>
    <row r="966">
      <c r="L966" s="30" t="n"/>
    </row>
    <row r="967">
      <c r="L967" s="30" t="n"/>
    </row>
    <row r="968">
      <c r="L968" s="30" t="n"/>
    </row>
    <row r="969">
      <c r="L969" s="30" t="n"/>
    </row>
    <row r="970">
      <c r="L970" s="30" t="n"/>
    </row>
    <row r="971">
      <c r="L971" s="30" t="n"/>
    </row>
    <row r="972">
      <c r="L972" s="30" t="n"/>
    </row>
    <row r="973">
      <c r="L973" s="30" t="n"/>
    </row>
    <row r="974">
      <c r="L974" s="30" t="n"/>
    </row>
    <row r="975">
      <c r="L975" s="30" t="n"/>
    </row>
    <row r="976">
      <c r="L976" s="30" t="n"/>
    </row>
    <row r="977">
      <c r="L977" s="30" t="n"/>
    </row>
    <row r="978">
      <c r="L978" s="30" t="n"/>
    </row>
    <row r="979">
      <c r="L979" s="30" t="n"/>
    </row>
    <row r="980">
      <c r="L980" s="30" t="n"/>
    </row>
    <row r="981">
      <c r="L981" s="30" t="n"/>
    </row>
    <row r="982">
      <c r="L982" s="30" t="n"/>
    </row>
    <row r="983">
      <c r="L983" s="30" t="n"/>
    </row>
    <row r="984">
      <c r="L984" s="30" t="n"/>
    </row>
    <row r="985">
      <c r="L985" s="30" t="n"/>
    </row>
    <row r="986">
      <c r="L986" s="30" t="n"/>
    </row>
    <row r="987">
      <c r="L987" s="30" t="n"/>
    </row>
    <row r="988">
      <c r="L988" s="30" t="n"/>
    </row>
    <row r="989">
      <c r="L989" s="30" t="n"/>
    </row>
    <row r="990">
      <c r="L990" s="30" t="n"/>
    </row>
    <row r="991">
      <c r="L991" s="30" t="n"/>
    </row>
    <row r="992">
      <c r="L992" s="30" t="n"/>
    </row>
    <row r="993">
      <c r="L993" s="30" t="n"/>
    </row>
    <row r="994">
      <c r="L994" s="30" t="n"/>
    </row>
    <row r="995">
      <c r="L995" s="30" t="n"/>
    </row>
    <row r="996">
      <c r="L996" s="30" t="n"/>
    </row>
    <row r="997">
      <c r="L997" s="30" t="n"/>
    </row>
    <row r="998">
      <c r="L998" s="30" t="n"/>
    </row>
    <row r="999">
      <c r="L999" s="30" t="n"/>
    </row>
    <row r="1000">
      <c r="L1000" s="30" t="n"/>
    </row>
    <row r="1001">
      <c r="L1001" s="30" t="n"/>
    </row>
    <row r="1002">
      <c r="L1002" s="30" t="n"/>
    </row>
    <row r="1003">
      <c r="L1003" s="30" t="n"/>
    </row>
    <row r="1004">
      <c r="L1004" s="30" t="n"/>
    </row>
    <row r="1005">
      <c r="L1005" s="30" t="n"/>
    </row>
    <row r="1006">
      <c r="L1006" s="30" t="n"/>
    </row>
    <row r="1007">
      <c r="L1007" s="30" t="n"/>
    </row>
    <row r="1008">
      <c r="L1008" s="30" t="n"/>
    </row>
    <row r="1009">
      <c r="L1009" s="30" t="n"/>
    </row>
    <row r="1010">
      <c r="L1010" s="30" t="n"/>
    </row>
    <row r="1011">
      <c r="L1011" s="30" t="n"/>
    </row>
    <row r="1012">
      <c r="L1012" s="30" t="n"/>
    </row>
    <row r="1013">
      <c r="L1013" s="30" t="n"/>
    </row>
    <row r="1014">
      <c r="L1014" s="30" t="n"/>
    </row>
    <row r="1015">
      <c r="L1015" s="30" t="n"/>
    </row>
    <row r="1016">
      <c r="L1016" s="30" t="n"/>
    </row>
    <row r="1017">
      <c r="L1017" s="30" t="n"/>
    </row>
    <row r="1018">
      <c r="L1018" s="30" t="n"/>
    </row>
    <row r="1019">
      <c r="L1019" s="30" t="n"/>
    </row>
    <row r="1020">
      <c r="L1020" s="30" t="n"/>
    </row>
    <row r="1021">
      <c r="L1021" s="30" t="n"/>
    </row>
    <row r="1022">
      <c r="L1022" s="30" t="n"/>
    </row>
    <row r="1023">
      <c r="L1023" s="30" t="n"/>
    </row>
    <row r="1024">
      <c r="L1024" s="30" t="n"/>
    </row>
    <row r="1025">
      <c r="L1025" s="30" t="n"/>
    </row>
    <row r="1026">
      <c r="L1026" s="30" t="n"/>
    </row>
    <row r="1027">
      <c r="L1027" s="30" t="n"/>
    </row>
    <row r="1028">
      <c r="L1028" s="30" t="n"/>
    </row>
    <row r="1029">
      <c r="L1029" s="30" t="n"/>
    </row>
    <row r="1030">
      <c r="L1030" s="30" t="n"/>
    </row>
    <row r="1031">
      <c r="L1031" s="30" t="n"/>
    </row>
    <row r="1032">
      <c r="L1032" s="30" t="n"/>
    </row>
    <row r="1033">
      <c r="L1033" s="30" t="n"/>
    </row>
    <row r="1034">
      <c r="L1034" s="30" t="n"/>
    </row>
    <row r="1035">
      <c r="L1035" s="30" t="n"/>
    </row>
    <row r="1036">
      <c r="L1036" s="30" t="n"/>
    </row>
    <row r="1037">
      <c r="L1037" s="30" t="n"/>
    </row>
    <row r="1038">
      <c r="L1038" s="30" t="n"/>
    </row>
    <row r="1039">
      <c r="L1039" s="30" t="n"/>
    </row>
    <row r="1040">
      <c r="L1040" s="30" t="n"/>
    </row>
    <row r="1041">
      <c r="L1041" s="30" t="n"/>
    </row>
    <row r="1042">
      <c r="L1042" s="30" t="n"/>
    </row>
    <row r="1043">
      <c r="L1043" s="30" t="n"/>
    </row>
    <row r="1044">
      <c r="L1044" s="30" t="n"/>
    </row>
    <row r="1045">
      <c r="L1045" s="30" t="n"/>
    </row>
    <row r="1046">
      <c r="L1046" s="30" t="n"/>
    </row>
    <row r="1047">
      <c r="L1047" s="30" t="n"/>
    </row>
    <row r="1048">
      <c r="L1048" s="30" t="n"/>
    </row>
    <row r="1049">
      <c r="L1049" s="30" t="n"/>
    </row>
    <row r="1050">
      <c r="L1050" s="30" t="n"/>
    </row>
    <row r="1051">
      <c r="L1051" s="30" t="n"/>
    </row>
    <row r="1052">
      <c r="L1052" s="30" t="n"/>
    </row>
    <row r="1053">
      <c r="L1053" s="30" t="n"/>
    </row>
    <row r="1054">
      <c r="L1054" s="30" t="n"/>
    </row>
    <row r="1055">
      <c r="L1055" s="30" t="n"/>
    </row>
    <row r="1056">
      <c r="L1056" s="30" t="n"/>
    </row>
    <row r="1057">
      <c r="L1057" s="30" t="n"/>
    </row>
    <row r="1058">
      <c r="L1058" s="30" t="n"/>
    </row>
    <row r="1059">
      <c r="L1059" s="30" t="n"/>
    </row>
    <row r="1060">
      <c r="L1060" s="30" t="n"/>
    </row>
    <row r="1061">
      <c r="L1061" s="30" t="n"/>
    </row>
    <row r="1062">
      <c r="L1062" s="30" t="n"/>
    </row>
    <row r="1063">
      <c r="L1063" s="30" t="n"/>
    </row>
    <row r="1064">
      <c r="L1064" s="30" t="n"/>
    </row>
    <row r="1065">
      <c r="L1065" s="30" t="n"/>
    </row>
    <row r="1066">
      <c r="L1066" s="30" t="n"/>
    </row>
    <row r="1067">
      <c r="L1067" s="30" t="n"/>
    </row>
    <row r="1068">
      <c r="L1068" s="30" t="n"/>
    </row>
    <row r="1069">
      <c r="L1069" s="30" t="n"/>
    </row>
    <row r="1070">
      <c r="L1070" s="30" t="n"/>
    </row>
    <row r="1071">
      <c r="L1071" s="30" t="n"/>
    </row>
    <row r="1072">
      <c r="L1072" s="30" t="n"/>
    </row>
    <row r="1073">
      <c r="L1073" s="30" t="n"/>
    </row>
    <row r="1074">
      <c r="L1074" s="30" t="n"/>
    </row>
    <row r="1075">
      <c r="L1075" s="30" t="n"/>
    </row>
    <row r="1076">
      <c r="L1076" s="30" t="n"/>
    </row>
    <row r="1077">
      <c r="L1077" s="30" t="n"/>
    </row>
    <row r="1078">
      <c r="L1078" s="30" t="n"/>
    </row>
    <row r="1079">
      <c r="L1079" s="30" t="n"/>
    </row>
    <row r="1080">
      <c r="L1080" s="30" t="n"/>
    </row>
    <row r="1081">
      <c r="L1081" s="30" t="n"/>
    </row>
    <row r="1082">
      <c r="L1082" s="30" t="n"/>
    </row>
    <row r="1083">
      <c r="L1083" s="30" t="n"/>
    </row>
    <row r="1084">
      <c r="L1084" s="30" t="n"/>
    </row>
    <row r="1085">
      <c r="L1085" s="30" t="n"/>
    </row>
    <row r="1086">
      <c r="L1086" s="30" t="n"/>
    </row>
    <row r="1087">
      <c r="L1087" s="30" t="n"/>
    </row>
    <row r="1088">
      <c r="L1088" s="30" t="n"/>
    </row>
    <row r="1089">
      <c r="L1089" s="30" t="n"/>
    </row>
    <row r="1090">
      <c r="L1090" s="30" t="n"/>
    </row>
    <row r="1091">
      <c r="L1091" s="30" t="n"/>
    </row>
    <row r="1092">
      <c r="L1092" s="30" t="n"/>
    </row>
    <row r="1093">
      <c r="L1093" s="30" t="n"/>
    </row>
    <row r="1094">
      <c r="L1094" s="30" t="n"/>
    </row>
    <row r="1095">
      <c r="L1095" s="30" t="n"/>
    </row>
    <row r="1096">
      <c r="L1096" s="30" t="n"/>
    </row>
    <row r="1097">
      <c r="L1097" s="30" t="n"/>
    </row>
    <row r="1098">
      <c r="L1098" s="30" t="n"/>
    </row>
    <row r="1099">
      <c r="L1099" s="30" t="n"/>
    </row>
    <row r="1100">
      <c r="L1100" s="30" t="n"/>
    </row>
    <row r="1101">
      <c r="L1101" s="30" t="n"/>
    </row>
    <row r="1102">
      <c r="L1102" s="30" t="n"/>
    </row>
    <row r="1103">
      <c r="L1103" s="30" t="n"/>
    </row>
    <row r="1104">
      <c r="L1104" s="30" t="n"/>
    </row>
    <row r="1105">
      <c r="L1105" s="30" t="n"/>
    </row>
    <row r="1106">
      <c r="L1106" s="30" t="n"/>
    </row>
    <row r="1107">
      <c r="L1107" s="30" t="n"/>
    </row>
    <row r="1108">
      <c r="L1108" s="30" t="n"/>
    </row>
    <row r="1109">
      <c r="L1109" s="30" t="n"/>
    </row>
    <row r="1110">
      <c r="L1110" s="30" t="n"/>
    </row>
    <row r="1111">
      <c r="L1111" s="30" t="n"/>
    </row>
    <row r="1112">
      <c r="L1112" s="30" t="n"/>
    </row>
    <row r="1113">
      <c r="L1113" s="30" t="n"/>
    </row>
    <row r="1114">
      <c r="L1114" s="30" t="n"/>
    </row>
    <row r="1115">
      <c r="L1115" s="30" t="n"/>
    </row>
    <row r="1116">
      <c r="L1116" s="30" t="n"/>
    </row>
    <row r="1117">
      <c r="L1117" s="30" t="n"/>
    </row>
    <row r="1118">
      <c r="L1118" s="30" t="n"/>
    </row>
    <row r="1119">
      <c r="L1119" s="30" t="n"/>
    </row>
    <row r="1120">
      <c r="L1120" s="30" t="n"/>
    </row>
    <row r="1121">
      <c r="L1121" s="30" t="n"/>
    </row>
    <row r="1122">
      <c r="L1122" s="30" t="n"/>
    </row>
    <row r="1123">
      <c r="L1123" s="30" t="n"/>
    </row>
    <row r="1124">
      <c r="L1124" s="30" t="n"/>
    </row>
    <row r="1125">
      <c r="L1125" s="30" t="n"/>
    </row>
    <row r="1126">
      <c r="L1126" s="30" t="n"/>
    </row>
    <row r="1127">
      <c r="L1127" s="30" t="n"/>
    </row>
    <row r="1128">
      <c r="L1128" s="30" t="n"/>
    </row>
    <row r="1129">
      <c r="L1129" s="30" t="n"/>
    </row>
    <row r="1130">
      <c r="L1130" s="30" t="n"/>
    </row>
    <row r="1131">
      <c r="L1131" s="30" t="n"/>
    </row>
    <row r="1132">
      <c r="L1132" s="30" t="n"/>
    </row>
    <row r="1133">
      <c r="L1133" s="30" t="n"/>
    </row>
    <row r="1134">
      <c r="L1134" s="30" t="n"/>
    </row>
    <row r="1135">
      <c r="L1135" s="30" t="n"/>
    </row>
    <row r="1136">
      <c r="L1136" s="30" t="n"/>
    </row>
    <row r="1137">
      <c r="L1137" s="30" t="n"/>
    </row>
    <row r="1138">
      <c r="L1138" s="30" t="n"/>
    </row>
    <row r="1139">
      <c r="L1139" s="30" t="n"/>
    </row>
    <row r="1140">
      <c r="L1140" s="30" t="n"/>
    </row>
    <row r="1141">
      <c r="L1141" s="30" t="n"/>
    </row>
    <row r="1142">
      <c r="L1142" s="30" t="n"/>
    </row>
    <row r="1143">
      <c r="L1143" s="30" t="n"/>
    </row>
    <row r="1144">
      <c r="L1144" s="30" t="n"/>
    </row>
    <row r="1145">
      <c r="L1145" s="30" t="n"/>
    </row>
    <row r="1146">
      <c r="L1146" s="30" t="n"/>
    </row>
    <row r="1147">
      <c r="L1147" s="30" t="n"/>
    </row>
    <row r="1148">
      <c r="L1148" s="30" t="n"/>
    </row>
    <row r="1149">
      <c r="L1149" s="30" t="n"/>
    </row>
    <row r="1150">
      <c r="L1150" s="30" t="n"/>
    </row>
    <row r="1151">
      <c r="L1151" s="30" t="n"/>
    </row>
    <row r="1152">
      <c r="L1152" s="30" t="n"/>
    </row>
    <row r="1153">
      <c r="L1153" s="30" t="n"/>
    </row>
    <row r="1154">
      <c r="L1154" s="30" t="n"/>
    </row>
    <row r="1155">
      <c r="L1155" s="30" t="n"/>
    </row>
    <row r="1156">
      <c r="L1156" s="30" t="n"/>
    </row>
    <row r="1157">
      <c r="L1157" s="30" t="n"/>
    </row>
    <row r="1158">
      <c r="L1158" s="30" t="n"/>
    </row>
    <row r="1159">
      <c r="L1159" s="30" t="n"/>
    </row>
    <row r="1160">
      <c r="L1160" s="30" t="n"/>
    </row>
    <row r="1161">
      <c r="L1161" s="30" t="n"/>
    </row>
    <row r="1162">
      <c r="L1162" s="30" t="n"/>
    </row>
    <row r="1163">
      <c r="L1163" s="30" t="n"/>
    </row>
    <row r="1164">
      <c r="L1164" s="30" t="n"/>
    </row>
    <row r="1165">
      <c r="L1165" s="30" t="n"/>
    </row>
    <row r="1166">
      <c r="L1166" s="30" t="n"/>
    </row>
    <row r="1167">
      <c r="L1167" s="30" t="n"/>
    </row>
    <row r="1168">
      <c r="L1168" s="30" t="n"/>
    </row>
    <row r="1169">
      <c r="L1169" s="30" t="n"/>
    </row>
    <row r="1170">
      <c r="L1170" s="30" t="n"/>
    </row>
    <row r="1171">
      <c r="L1171" s="30" t="n"/>
    </row>
    <row r="1172">
      <c r="L1172" s="30" t="n"/>
    </row>
    <row r="1173">
      <c r="L1173" s="30" t="n"/>
    </row>
    <row r="1174">
      <c r="L1174" s="30" t="n"/>
    </row>
    <row r="1175">
      <c r="L1175" s="30" t="n"/>
    </row>
    <row r="1176">
      <c r="L1176" s="30" t="n"/>
    </row>
    <row r="1177">
      <c r="L1177" s="30" t="n"/>
    </row>
    <row r="1178">
      <c r="L1178" s="30" t="n"/>
    </row>
    <row r="1179">
      <c r="L1179" s="30" t="n"/>
    </row>
    <row r="1180">
      <c r="L1180" s="30" t="n"/>
    </row>
    <row r="1181">
      <c r="L1181" s="30" t="n"/>
    </row>
    <row r="1182">
      <c r="L1182" s="30" t="n"/>
    </row>
    <row r="1183">
      <c r="L1183" s="30" t="n"/>
    </row>
    <row r="1184">
      <c r="L1184" s="30" t="n"/>
    </row>
    <row r="1185">
      <c r="L1185" s="30" t="n"/>
    </row>
    <row r="1186">
      <c r="L1186" s="30" t="n"/>
    </row>
    <row r="1187">
      <c r="L1187" s="30" t="n"/>
    </row>
    <row r="1188">
      <c r="L1188" s="30" t="n"/>
    </row>
    <row r="1189">
      <c r="L1189" s="30" t="n"/>
    </row>
    <row r="1190">
      <c r="L1190" s="30" t="n"/>
    </row>
    <row r="1191">
      <c r="L1191" s="30" t="n"/>
    </row>
    <row r="1192">
      <c r="L1192" s="30" t="n"/>
    </row>
    <row r="1193">
      <c r="L1193" s="30" t="n"/>
    </row>
    <row r="1194">
      <c r="L1194" s="30" t="n"/>
    </row>
    <row r="1195">
      <c r="L1195" s="30" t="n"/>
    </row>
    <row r="1196">
      <c r="L1196" s="30" t="n"/>
    </row>
    <row r="1197">
      <c r="L1197" s="30" t="n"/>
    </row>
    <row r="1198">
      <c r="L1198" s="30" t="n"/>
    </row>
    <row r="1199">
      <c r="L1199" s="30" t="n"/>
    </row>
    <row r="1200">
      <c r="L1200" s="30" t="n"/>
    </row>
    <row r="1201">
      <c r="L1201" s="30" t="n"/>
    </row>
    <row r="1202">
      <c r="L1202" s="30" t="n"/>
    </row>
    <row r="1203">
      <c r="L1203" s="30" t="n"/>
    </row>
    <row r="1204">
      <c r="L1204" s="30" t="n"/>
    </row>
    <row r="1205">
      <c r="L1205" s="30" t="n"/>
    </row>
    <row r="1206">
      <c r="L1206" s="30" t="n"/>
    </row>
    <row r="1207">
      <c r="L1207" s="30" t="n"/>
    </row>
    <row r="1208">
      <c r="L1208" s="30" t="n"/>
    </row>
    <row r="1209">
      <c r="L1209" s="30" t="n"/>
    </row>
    <row r="1210">
      <c r="L1210" s="30" t="n"/>
    </row>
    <row r="1211">
      <c r="L1211" s="30" t="n"/>
    </row>
    <row r="1212">
      <c r="L1212" s="30" t="n"/>
    </row>
    <row r="1213">
      <c r="L1213" s="30" t="n"/>
    </row>
    <row r="1214">
      <c r="L1214" s="30" t="n"/>
    </row>
    <row r="1215">
      <c r="L1215" s="30" t="n"/>
    </row>
    <row r="1216">
      <c r="L1216" s="30" t="n"/>
    </row>
    <row r="1217">
      <c r="L1217" s="30" t="n"/>
    </row>
    <row r="1218">
      <c r="L1218" s="30" t="n"/>
    </row>
    <row r="1219">
      <c r="L1219" s="30" t="n"/>
    </row>
    <row r="1220">
      <c r="L1220" s="30" t="n"/>
    </row>
    <row r="1221">
      <c r="L1221" s="30" t="n"/>
    </row>
    <row r="1222">
      <c r="L1222" s="30" t="n"/>
    </row>
    <row r="1223">
      <c r="L1223" s="30" t="n"/>
    </row>
    <row r="1224">
      <c r="L1224" s="30" t="n"/>
    </row>
    <row r="1225">
      <c r="L1225" s="30" t="n"/>
    </row>
    <row r="1226">
      <c r="L1226" s="30" t="n"/>
    </row>
    <row r="1227">
      <c r="L1227" s="30" t="n"/>
    </row>
    <row r="1228">
      <c r="L1228" s="30" t="n"/>
    </row>
    <row r="1229">
      <c r="L1229" s="30" t="n"/>
    </row>
    <row r="1230">
      <c r="L1230" s="30" t="n"/>
    </row>
    <row r="1231">
      <c r="L1231" s="30" t="n"/>
    </row>
    <row r="1232">
      <c r="L1232" s="30" t="n"/>
    </row>
    <row r="1233">
      <c r="L1233" s="30" t="n"/>
    </row>
    <row r="1234">
      <c r="L1234" s="30" t="n"/>
    </row>
    <row r="1235">
      <c r="L1235" s="30" t="n"/>
    </row>
    <row r="1236">
      <c r="L1236" s="30" t="n"/>
    </row>
    <row r="1237">
      <c r="L1237" s="30" t="n"/>
    </row>
    <row r="1238">
      <c r="L1238" s="30" t="n"/>
    </row>
    <row r="1239">
      <c r="L1239" s="30" t="n"/>
    </row>
    <row r="1240">
      <c r="L1240" s="30" t="n"/>
    </row>
    <row r="1241">
      <c r="L1241" s="30" t="n"/>
    </row>
    <row r="1242">
      <c r="L1242" s="30" t="n"/>
    </row>
    <row r="1243">
      <c r="L1243" s="30" t="n"/>
    </row>
    <row r="1244">
      <c r="L1244" s="30" t="n"/>
    </row>
    <row r="1245">
      <c r="L1245" s="30" t="n"/>
    </row>
    <row r="1246">
      <c r="L1246" s="30" t="n"/>
    </row>
    <row r="1247">
      <c r="L1247" s="30" t="n"/>
    </row>
    <row r="1248">
      <c r="L1248" s="30" t="n"/>
    </row>
    <row r="1249">
      <c r="L1249" s="30" t="n"/>
    </row>
    <row r="1250">
      <c r="L1250" s="30" t="n"/>
    </row>
    <row r="1251">
      <c r="L1251" s="30" t="n"/>
    </row>
    <row r="1252">
      <c r="L1252" s="30" t="n"/>
    </row>
    <row r="1253">
      <c r="L1253" s="30" t="n"/>
    </row>
    <row r="1254">
      <c r="L1254" s="30" t="n"/>
    </row>
    <row r="1255">
      <c r="L1255" s="30" t="n"/>
    </row>
    <row r="1256">
      <c r="L1256" s="30" t="n"/>
    </row>
    <row r="1257">
      <c r="L1257" s="30" t="n"/>
    </row>
    <row r="1258">
      <c r="L1258" s="30" t="n"/>
    </row>
    <row r="1259">
      <c r="L1259" s="30" t="n"/>
    </row>
    <row r="1260">
      <c r="L1260" s="30" t="n"/>
    </row>
    <row r="1261">
      <c r="L1261" s="30" t="n"/>
    </row>
    <row r="1262">
      <c r="L1262" s="30" t="n"/>
    </row>
    <row r="1263">
      <c r="L1263" s="30" t="n"/>
    </row>
    <row r="1264">
      <c r="L1264" s="30" t="n"/>
    </row>
    <row r="1265">
      <c r="L1265" s="30" t="n"/>
    </row>
    <row r="1266">
      <c r="L1266" s="30" t="n"/>
    </row>
    <row r="1267">
      <c r="L1267" s="30" t="n"/>
    </row>
    <row r="1268">
      <c r="L1268" s="30" t="n"/>
    </row>
    <row r="1269">
      <c r="L1269" s="30" t="n"/>
    </row>
    <row r="1270">
      <c r="L1270" s="30" t="n"/>
    </row>
    <row r="1271">
      <c r="L1271" s="30" t="n"/>
    </row>
    <row r="1272">
      <c r="L1272" s="30" t="n"/>
    </row>
    <row r="1273">
      <c r="L1273" s="30" t="n"/>
    </row>
    <row r="1274">
      <c r="L1274" s="30" t="n"/>
    </row>
    <row r="1275">
      <c r="L1275" s="30" t="n"/>
    </row>
    <row r="1276">
      <c r="L1276" s="30" t="n"/>
    </row>
    <row r="1277">
      <c r="L1277" s="30" t="n"/>
    </row>
    <row r="1278">
      <c r="L1278" s="30" t="n"/>
    </row>
    <row r="1279">
      <c r="L1279" s="30" t="n"/>
    </row>
    <row r="1280">
      <c r="L1280" s="30" t="n"/>
    </row>
    <row r="1281">
      <c r="L1281" s="30" t="n"/>
    </row>
    <row r="1282">
      <c r="L1282" s="30" t="n"/>
    </row>
    <row r="1283">
      <c r="L1283" s="30" t="n"/>
    </row>
    <row r="1284">
      <c r="L1284" s="30" t="n"/>
    </row>
    <row r="1285">
      <c r="L1285" s="30" t="n"/>
    </row>
    <row r="1286">
      <c r="L1286" s="30" t="n"/>
    </row>
    <row r="1287">
      <c r="L1287" s="30" t="n"/>
    </row>
    <row r="1288">
      <c r="L1288" s="30" t="n"/>
    </row>
    <row r="1289">
      <c r="L1289" s="30" t="n"/>
    </row>
    <row r="1290">
      <c r="L1290" s="30" t="n"/>
    </row>
    <row r="1291">
      <c r="L1291" s="30" t="n"/>
    </row>
    <row r="1292">
      <c r="L1292" s="30" t="n"/>
    </row>
    <row r="1293">
      <c r="L1293" s="30" t="n"/>
    </row>
    <row r="1294">
      <c r="L1294" s="30" t="n"/>
    </row>
    <row r="1295">
      <c r="L1295" s="30" t="n"/>
    </row>
    <row r="1296">
      <c r="L1296" s="30" t="n"/>
    </row>
    <row r="1297">
      <c r="L1297" s="30" t="n"/>
    </row>
    <row r="1298">
      <c r="L1298" s="30" t="n"/>
    </row>
    <row r="1299">
      <c r="L1299" s="30" t="n"/>
    </row>
    <row r="1300">
      <c r="L1300" s="30" t="n"/>
    </row>
    <row r="1301">
      <c r="L1301" s="30" t="n"/>
    </row>
    <row r="1302">
      <c r="L1302" s="30" t="n"/>
    </row>
    <row r="1303">
      <c r="L1303" s="30" t="n"/>
    </row>
    <row r="1304">
      <c r="L1304" s="30" t="n"/>
    </row>
    <row r="1305">
      <c r="L1305" s="30" t="n"/>
    </row>
    <row r="1306">
      <c r="L1306" s="30" t="n"/>
    </row>
    <row r="1307">
      <c r="L1307" s="30" t="n"/>
    </row>
    <row r="1308">
      <c r="L1308" s="30" t="n"/>
    </row>
    <row r="1309">
      <c r="L1309" s="30" t="n"/>
    </row>
    <row r="1310">
      <c r="L1310" s="30" t="n"/>
    </row>
    <row r="1311">
      <c r="L1311" s="30" t="n"/>
    </row>
    <row r="1312">
      <c r="L1312" s="30" t="n"/>
    </row>
    <row r="1313">
      <c r="L1313" s="30" t="n"/>
    </row>
    <row r="1314">
      <c r="L1314" s="30" t="n"/>
    </row>
    <row r="1315">
      <c r="L1315" s="30" t="n"/>
    </row>
    <row r="1316">
      <c r="L1316" s="30" t="n"/>
    </row>
    <row r="1317">
      <c r="L1317" s="30" t="n"/>
    </row>
    <row r="1318">
      <c r="L1318" s="30" t="n"/>
    </row>
    <row r="1319">
      <c r="L1319" s="30" t="n"/>
    </row>
    <row r="1320">
      <c r="L1320" s="30" t="n"/>
    </row>
    <row r="1321">
      <c r="L1321" s="30" t="n"/>
    </row>
    <row r="1322">
      <c r="L1322" s="30" t="n"/>
    </row>
    <row r="1323">
      <c r="L1323" s="30" t="n"/>
    </row>
    <row r="1324">
      <c r="L1324" s="30" t="n"/>
    </row>
    <row r="1325">
      <c r="L1325" s="30" t="n"/>
    </row>
    <row r="1326">
      <c r="L1326" s="30" t="n"/>
    </row>
    <row r="1327">
      <c r="L1327" s="30" t="n"/>
    </row>
    <row r="1328">
      <c r="L1328" s="30" t="n"/>
    </row>
    <row r="1329">
      <c r="L1329" s="30" t="n"/>
    </row>
    <row r="1330">
      <c r="L1330" s="30" t="n"/>
    </row>
    <row r="1331">
      <c r="L1331" s="30" t="n"/>
    </row>
    <row r="1332">
      <c r="L1332" s="30" t="n"/>
    </row>
    <row r="1333">
      <c r="L1333" s="30" t="n"/>
    </row>
    <row r="1334">
      <c r="L1334" s="30" t="n"/>
    </row>
    <row r="1335">
      <c r="L1335" s="30" t="n"/>
    </row>
    <row r="1336">
      <c r="L1336" s="30" t="n"/>
    </row>
    <row r="1337">
      <c r="L1337" s="30" t="n"/>
    </row>
    <row r="1338">
      <c r="L1338" s="30" t="n"/>
    </row>
    <row r="1339">
      <c r="L1339" s="30" t="n"/>
    </row>
    <row r="1340">
      <c r="L1340" s="30" t="n"/>
    </row>
    <row r="1341">
      <c r="L1341" s="30" t="n"/>
    </row>
    <row r="1342">
      <c r="L1342" s="30" t="n"/>
    </row>
    <row r="1343">
      <c r="L1343" s="30" t="n"/>
    </row>
    <row r="1344">
      <c r="L1344" s="30" t="n"/>
    </row>
    <row r="1345">
      <c r="L1345" s="30" t="n"/>
    </row>
    <row r="1346">
      <c r="L1346" s="30" t="n"/>
    </row>
    <row r="1347">
      <c r="L1347" s="30" t="n"/>
    </row>
    <row r="1348">
      <c r="L1348" s="30" t="n"/>
    </row>
    <row r="1349">
      <c r="L1349" s="30" t="n"/>
    </row>
    <row r="1350">
      <c r="L1350" s="30" t="n"/>
    </row>
    <row r="1351">
      <c r="L1351" s="30" t="n"/>
    </row>
    <row r="1352">
      <c r="L1352" s="30" t="n"/>
    </row>
    <row r="1353">
      <c r="L1353" s="30" t="n"/>
    </row>
    <row r="1354">
      <c r="L1354" s="30" t="n"/>
    </row>
    <row r="1355">
      <c r="L1355" s="30" t="n"/>
    </row>
    <row r="1356">
      <c r="L1356" s="30" t="n"/>
    </row>
    <row r="1357">
      <c r="L1357" s="30" t="n"/>
    </row>
    <row r="1358">
      <c r="L1358" s="30" t="n"/>
    </row>
    <row r="1359">
      <c r="L1359" s="30" t="n"/>
    </row>
    <row r="1360">
      <c r="L1360" s="30" t="n"/>
    </row>
    <row r="1361">
      <c r="L1361" s="30" t="n"/>
    </row>
    <row r="1362">
      <c r="L1362" s="30" t="n"/>
    </row>
    <row r="1363">
      <c r="L1363" s="30" t="n"/>
    </row>
    <row r="1364">
      <c r="L1364" s="30" t="n"/>
    </row>
    <row r="1365">
      <c r="L1365" s="30" t="n"/>
    </row>
    <row r="1366">
      <c r="L1366" s="30" t="n"/>
    </row>
    <row r="1367">
      <c r="L1367" s="30" t="n"/>
    </row>
    <row r="1368">
      <c r="L1368" s="30" t="n"/>
    </row>
    <row r="1369">
      <c r="L1369" s="30" t="n"/>
    </row>
    <row r="1370">
      <c r="L1370" s="30" t="n"/>
    </row>
    <row r="1371">
      <c r="L1371" s="30" t="n"/>
    </row>
    <row r="1372">
      <c r="L1372" s="30" t="n"/>
    </row>
    <row r="1373">
      <c r="L1373" s="30" t="n"/>
    </row>
    <row r="1374">
      <c r="L1374" s="30" t="n"/>
    </row>
    <row r="1375">
      <c r="L1375" s="30" t="n"/>
    </row>
    <row r="1376">
      <c r="L1376" s="30" t="n"/>
    </row>
    <row r="1377">
      <c r="L1377" s="30" t="n"/>
    </row>
    <row r="1378">
      <c r="L1378" s="30" t="n"/>
    </row>
    <row r="1379">
      <c r="L1379" s="30" t="n"/>
    </row>
    <row r="1380">
      <c r="L1380" s="30" t="n"/>
    </row>
    <row r="1381">
      <c r="L1381" s="30" t="n"/>
    </row>
    <row r="1382">
      <c r="L1382" s="30" t="n"/>
    </row>
    <row r="1383">
      <c r="L1383" s="30" t="n"/>
    </row>
    <row r="1384">
      <c r="L1384" s="30" t="n"/>
    </row>
    <row r="1385">
      <c r="L1385" s="30" t="n"/>
    </row>
    <row r="1386">
      <c r="L1386" s="30" t="n"/>
    </row>
    <row r="1387">
      <c r="L1387" s="30" t="n"/>
    </row>
    <row r="1388">
      <c r="L1388" s="30" t="n"/>
    </row>
    <row r="1389">
      <c r="L1389" s="30" t="n"/>
    </row>
    <row r="1390">
      <c r="L1390" s="30" t="n"/>
    </row>
    <row r="1391">
      <c r="L1391" s="30" t="n"/>
    </row>
    <row r="1392">
      <c r="L1392" s="30" t="n"/>
    </row>
    <row r="1393">
      <c r="L1393" s="30" t="n"/>
    </row>
    <row r="1394">
      <c r="L1394" s="30" t="n"/>
    </row>
    <row r="1395">
      <c r="L1395" s="30" t="n"/>
    </row>
    <row r="1396">
      <c r="L1396" s="30" t="n"/>
    </row>
    <row r="1397">
      <c r="L1397" s="30" t="n"/>
    </row>
    <row r="1398">
      <c r="L1398" s="30" t="n"/>
    </row>
    <row r="1399">
      <c r="L1399" s="30" t="n"/>
    </row>
    <row r="1400">
      <c r="L1400" s="30" t="n"/>
    </row>
    <row r="1401">
      <c r="L1401" s="30" t="n"/>
    </row>
    <row r="1402">
      <c r="L1402" s="30" t="n"/>
    </row>
    <row r="1403">
      <c r="L1403" s="30" t="n"/>
    </row>
    <row r="1404">
      <c r="L1404" s="30" t="n"/>
    </row>
    <row r="1405">
      <c r="L1405" s="30" t="n"/>
    </row>
    <row r="1406">
      <c r="L1406" s="30" t="n"/>
    </row>
    <row r="1407">
      <c r="L1407" s="30" t="n"/>
    </row>
    <row r="1408">
      <c r="L1408" s="30" t="n"/>
    </row>
    <row r="1409">
      <c r="L1409" s="30" t="n"/>
    </row>
    <row r="1410">
      <c r="L1410" s="30" t="n"/>
    </row>
    <row r="1411">
      <c r="L1411" s="30" t="n"/>
    </row>
    <row r="1412">
      <c r="L1412" s="30" t="n"/>
    </row>
    <row r="1413">
      <c r="L1413" s="30" t="n"/>
    </row>
    <row r="1414">
      <c r="L1414" s="30" t="n"/>
    </row>
    <row r="1415">
      <c r="L1415" s="30" t="n"/>
    </row>
    <row r="1416">
      <c r="L1416" s="30" t="n"/>
    </row>
    <row r="1417">
      <c r="L1417" s="30" t="n"/>
    </row>
    <row r="1418">
      <c r="L1418" s="30" t="n"/>
    </row>
    <row r="1419">
      <c r="L1419" s="30" t="n"/>
    </row>
    <row r="1420">
      <c r="L1420" s="30" t="n"/>
    </row>
    <row r="1421">
      <c r="L1421" s="30" t="n"/>
    </row>
    <row r="1422">
      <c r="L1422" s="30" t="n"/>
    </row>
    <row r="1423">
      <c r="L1423" s="30" t="n"/>
    </row>
    <row r="1424">
      <c r="L1424" s="30" t="n"/>
    </row>
    <row r="1425">
      <c r="L1425" s="30" t="n"/>
    </row>
    <row r="1426">
      <c r="L1426" s="30" t="n"/>
    </row>
    <row r="1427">
      <c r="L1427" s="30" t="n"/>
    </row>
    <row r="1428">
      <c r="L1428" s="30" t="n"/>
    </row>
    <row r="1429">
      <c r="L1429" s="30" t="n"/>
    </row>
    <row r="1430">
      <c r="L1430" s="30" t="n"/>
    </row>
    <row r="1431">
      <c r="L1431" s="30" t="n"/>
    </row>
    <row r="1432">
      <c r="L1432" s="30" t="n"/>
    </row>
    <row r="1433">
      <c r="L1433" s="30" t="n"/>
    </row>
    <row r="1434">
      <c r="L1434" s="30" t="n"/>
    </row>
    <row r="1435">
      <c r="L1435" s="30" t="n"/>
    </row>
    <row r="1436">
      <c r="L1436" s="30" t="n"/>
    </row>
    <row r="1437">
      <c r="L1437" s="30" t="n"/>
    </row>
    <row r="1438">
      <c r="L1438" s="30" t="n"/>
    </row>
    <row r="1439">
      <c r="L1439" s="30" t="n"/>
    </row>
    <row r="1440">
      <c r="L1440" s="30" t="n"/>
    </row>
    <row r="1441">
      <c r="L1441" s="30" t="n"/>
    </row>
    <row r="1442">
      <c r="L1442" s="30" t="n"/>
    </row>
    <row r="1443">
      <c r="L1443" s="30" t="n"/>
    </row>
    <row r="1444">
      <c r="L1444" s="30" t="n"/>
    </row>
    <row r="1445">
      <c r="L1445" s="30" t="n"/>
    </row>
    <row r="1446">
      <c r="L1446" s="30" t="n"/>
    </row>
    <row r="1447">
      <c r="L1447" s="30" t="n"/>
    </row>
    <row r="1448">
      <c r="L1448" s="30" t="n"/>
    </row>
    <row r="1449">
      <c r="L1449" s="30" t="n"/>
    </row>
    <row r="1450">
      <c r="L1450" s="30" t="n"/>
    </row>
    <row r="1451">
      <c r="L1451" s="30" t="n"/>
    </row>
    <row r="1452">
      <c r="L1452" s="30" t="n"/>
    </row>
    <row r="1453">
      <c r="L1453" s="30" t="n"/>
    </row>
    <row r="1454">
      <c r="L1454" s="30" t="n"/>
    </row>
    <row r="1455">
      <c r="L1455" s="30" t="n"/>
    </row>
    <row r="1456">
      <c r="L1456" s="30" t="n"/>
    </row>
    <row r="1457">
      <c r="L1457" s="30" t="n"/>
    </row>
    <row r="1458">
      <c r="L1458" s="30" t="n"/>
    </row>
    <row r="1459">
      <c r="L1459" s="30" t="n"/>
    </row>
    <row r="1460">
      <c r="L1460" s="30" t="n"/>
    </row>
    <row r="1461">
      <c r="L1461" s="30" t="n"/>
    </row>
    <row r="1462">
      <c r="L1462" s="30" t="n"/>
    </row>
    <row r="1463">
      <c r="L1463" s="30" t="n"/>
    </row>
    <row r="1464">
      <c r="L1464" s="30" t="n"/>
    </row>
    <row r="1465">
      <c r="L1465" s="30" t="n"/>
    </row>
    <row r="1466">
      <c r="L1466" s="30" t="n"/>
    </row>
    <row r="1467">
      <c r="L1467" s="30" t="n"/>
    </row>
    <row r="1468">
      <c r="L1468" s="30" t="n"/>
    </row>
    <row r="1469">
      <c r="L1469" s="30" t="n"/>
    </row>
    <row r="1470">
      <c r="L1470" s="30" t="n"/>
    </row>
    <row r="1471">
      <c r="L1471" s="30" t="n"/>
    </row>
    <row r="1472">
      <c r="L1472" s="30" t="n"/>
    </row>
    <row r="1473">
      <c r="L1473" s="30" t="n"/>
    </row>
    <row r="1474">
      <c r="L1474" s="30" t="n"/>
    </row>
    <row r="1475">
      <c r="L1475" s="30" t="n"/>
    </row>
    <row r="1476">
      <c r="L1476" s="30" t="n"/>
    </row>
    <row r="1477">
      <c r="L1477" s="30" t="n"/>
    </row>
    <row r="1478">
      <c r="L1478" s="30" t="n"/>
    </row>
    <row r="1479">
      <c r="L1479" s="30" t="n"/>
    </row>
    <row r="1480">
      <c r="L1480" s="30" t="n"/>
    </row>
    <row r="1481">
      <c r="L1481" s="30" t="n"/>
    </row>
    <row r="1482">
      <c r="L1482" s="30" t="n"/>
    </row>
    <row r="1483">
      <c r="L1483" s="30" t="n"/>
    </row>
    <row r="1484">
      <c r="L1484" s="30" t="n"/>
    </row>
    <row r="1485">
      <c r="L1485" s="30" t="n"/>
    </row>
    <row r="1486">
      <c r="L1486" s="30" t="n"/>
    </row>
    <row r="1487">
      <c r="L1487" s="30" t="n"/>
    </row>
    <row r="1488">
      <c r="L1488" s="30" t="n"/>
    </row>
    <row r="1489">
      <c r="L1489" s="30" t="n"/>
    </row>
    <row r="1490">
      <c r="L1490" s="30" t="n"/>
    </row>
    <row r="1491">
      <c r="L1491" s="30" t="n"/>
    </row>
    <row r="1492">
      <c r="L1492" s="30" t="n"/>
    </row>
    <row r="1493">
      <c r="L1493" s="30" t="n"/>
    </row>
    <row r="1494">
      <c r="L1494" s="30" t="n"/>
    </row>
    <row r="1495">
      <c r="L1495" s="30" t="n"/>
    </row>
    <row r="1496">
      <c r="L1496" s="30" t="n"/>
    </row>
    <row r="1497">
      <c r="L1497" s="30" t="n"/>
    </row>
    <row r="1498">
      <c r="L1498" s="30" t="n"/>
    </row>
    <row r="1499">
      <c r="L1499" s="30" t="n"/>
    </row>
    <row r="1500">
      <c r="L1500" s="30" t="n"/>
    </row>
    <row r="1501">
      <c r="L1501" s="30" t="n"/>
    </row>
    <row r="1502">
      <c r="L1502" s="30" t="n"/>
    </row>
    <row r="1503">
      <c r="L1503" s="30" t="n"/>
    </row>
    <row r="1504">
      <c r="L1504" s="30" t="n"/>
    </row>
    <row r="1505">
      <c r="L1505" s="30" t="n"/>
    </row>
    <row r="1506">
      <c r="L1506" s="30" t="n"/>
    </row>
    <row r="1507">
      <c r="L1507" s="30" t="n"/>
    </row>
    <row r="1508">
      <c r="L1508" s="30" t="n"/>
    </row>
    <row r="1509">
      <c r="L1509" s="30" t="n"/>
    </row>
    <row r="1510">
      <c r="L1510" s="30" t="n"/>
    </row>
    <row r="1511">
      <c r="L1511" s="30" t="n"/>
    </row>
    <row r="1512">
      <c r="L1512" s="30" t="n"/>
    </row>
    <row r="1513">
      <c r="L1513" s="30" t="n"/>
    </row>
    <row r="1514">
      <c r="L1514" s="30" t="n"/>
    </row>
    <row r="1515">
      <c r="L1515" s="30" t="n"/>
    </row>
    <row r="1516">
      <c r="L1516" s="30" t="n"/>
    </row>
    <row r="1517">
      <c r="L1517" s="30" t="n"/>
    </row>
    <row r="1518">
      <c r="L1518" s="30" t="n"/>
    </row>
    <row r="1519">
      <c r="L1519" s="30" t="n"/>
    </row>
    <row r="1520">
      <c r="L1520" s="30" t="n"/>
    </row>
    <row r="1521">
      <c r="L1521" s="30" t="n"/>
    </row>
    <row r="1522">
      <c r="L1522" s="30" t="n"/>
    </row>
    <row r="1523">
      <c r="L1523" s="30" t="n"/>
    </row>
    <row r="1524">
      <c r="L1524" s="30" t="n"/>
    </row>
    <row r="1525">
      <c r="L1525" s="30" t="n"/>
    </row>
    <row r="1526">
      <c r="L1526" s="30" t="n"/>
    </row>
    <row r="1527">
      <c r="L1527" s="30" t="n"/>
    </row>
    <row r="1528">
      <c r="L1528" s="30" t="n"/>
    </row>
    <row r="1529">
      <c r="L1529" s="30" t="n"/>
    </row>
    <row r="1530">
      <c r="L1530" s="30" t="n"/>
    </row>
    <row r="1531">
      <c r="L1531" s="30" t="n"/>
    </row>
    <row r="1532">
      <c r="L1532" s="30" t="n"/>
    </row>
    <row r="1533">
      <c r="L1533" s="30" t="n"/>
    </row>
    <row r="1534">
      <c r="L1534" s="30" t="n"/>
    </row>
    <row r="1535">
      <c r="L1535" s="30" t="n"/>
    </row>
    <row r="1536">
      <c r="L1536" s="30" t="n"/>
    </row>
    <row r="1537">
      <c r="L1537" s="30" t="n"/>
    </row>
    <row r="1538">
      <c r="L1538" s="30" t="n"/>
    </row>
    <row r="1539">
      <c r="L1539" s="30" t="n"/>
    </row>
    <row r="1540">
      <c r="L1540" s="30" t="n"/>
    </row>
    <row r="1541">
      <c r="L1541" s="30" t="n"/>
    </row>
    <row r="1542">
      <c r="L1542" s="30" t="n"/>
    </row>
    <row r="1543">
      <c r="L1543" s="30" t="n"/>
    </row>
    <row r="1544">
      <c r="L1544" s="30" t="n"/>
    </row>
    <row r="1545">
      <c r="L1545" s="30" t="n"/>
    </row>
    <row r="1546">
      <c r="L1546" s="30" t="n"/>
    </row>
    <row r="1547">
      <c r="L1547" s="30" t="n"/>
    </row>
    <row r="1548">
      <c r="L1548" s="30" t="n"/>
    </row>
    <row r="1549">
      <c r="L1549" s="30" t="n"/>
    </row>
    <row r="1550">
      <c r="L1550" s="30" t="n"/>
    </row>
    <row r="1551">
      <c r="L1551" s="30" t="n"/>
    </row>
    <row r="1552">
      <c r="L1552" s="30" t="n"/>
    </row>
    <row r="1553">
      <c r="L1553" s="30" t="n"/>
    </row>
    <row r="1554">
      <c r="L1554" s="30" t="n"/>
    </row>
    <row r="1555">
      <c r="L1555" s="30" t="n"/>
    </row>
    <row r="1556">
      <c r="L1556" s="30" t="n"/>
    </row>
    <row r="1557">
      <c r="L1557" s="30" t="n"/>
    </row>
    <row r="1558">
      <c r="L1558" s="30" t="n"/>
    </row>
    <row r="1559">
      <c r="L1559" s="30" t="n"/>
    </row>
    <row r="1560">
      <c r="L1560" s="30" t="n"/>
    </row>
    <row r="1561">
      <c r="L1561" s="30" t="n"/>
    </row>
    <row r="1562">
      <c r="L1562" s="30" t="n"/>
    </row>
    <row r="1563">
      <c r="L1563" s="30" t="n"/>
    </row>
    <row r="1564">
      <c r="L1564" s="30" t="n"/>
    </row>
    <row r="1565">
      <c r="L1565" s="30" t="n"/>
    </row>
    <row r="1566">
      <c r="L1566" s="30" t="n"/>
    </row>
    <row r="1567">
      <c r="L1567" s="30" t="n"/>
    </row>
    <row r="1568">
      <c r="L1568" s="30" t="n"/>
    </row>
    <row r="1569">
      <c r="L1569" s="30" t="n"/>
    </row>
    <row r="1570">
      <c r="L1570" s="30" t="n"/>
    </row>
    <row r="1571">
      <c r="L1571" s="30" t="n"/>
    </row>
    <row r="1572">
      <c r="L1572" s="30" t="n"/>
    </row>
    <row r="1573">
      <c r="L1573" s="30" t="n"/>
    </row>
    <row r="1574">
      <c r="L1574" s="30" t="n"/>
    </row>
    <row r="1575">
      <c r="L1575" s="30" t="n"/>
    </row>
    <row r="1576">
      <c r="L1576" s="30" t="n"/>
    </row>
    <row r="1577">
      <c r="L1577" s="30" t="n"/>
    </row>
    <row r="1578">
      <c r="L1578" s="30" t="n"/>
    </row>
    <row r="1579">
      <c r="L1579" s="30" t="n"/>
    </row>
    <row r="1580">
      <c r="L1580" s="30" t="n"/>
    </row>
    <row r="1581">
      <c r="L1581" s="30" t="n"/>
    </row>
    <row r="1582">
      <c r="L1582" s="30" t="n"/>
    </row>
    <row r="1583">
      <c r="L1583" s="30" t="n"/>
    </row>
    <row r="1584">
      <c r="L1584" s="30" t="n"/>
    </row>
    <row r="1585">
      <c r="L1585" s="30" t="n"/>
    </row>
    <row r="1586">
      <c r="L1586" s="30" t="n"/>
    </row>
    <row r="1587">
      <c r="L1587" s="30" t="n"/>
    </row>
    <row r="1588">
      <c r="L1588" s="30" t="n"/>
    </row>
    <row r="1589">
      <c r="L1589" s="30" t="n"/>
    </row>
    <row r="1590">
      <c r="L1590" s="30" t="n"/>
    </row>
    <row r="1591">
      <c r="L1591" s="30" t="n"/>
    </row>
    <row r="1592">
      <c r="L1592" s="30" t="n"/>
    </row>
    <row r="1593">
      <c r="L1593" s="30" t="n"/>
    </row>
    <row r="1594">
      <c r="L1594" s="30" t="n"/>
    </row>
    <row r="1595">
      <c r="L1595" s="30" t="n"/>
    </row>
    <row r="1596">
      <c r="L1596" s="30" t="n"/>
    </row>
    <row r="1597">
      <c r="L1597" s="30" t="n"/>
    </row>
    <row r="1598">
      <c r="L1598" s="30" t="n"/>
    </row>
    <row r="1599">
      <c r="L1599" s="30" t="n"/>
    </row>
    <row r="1600">
      <c r="L1600" s="30" t="n"/>
    </row>
    <row r="1601">
      <c r="L1601" s="30" t="n"/>
    </row>
    <row r="1602">
      <c r="L1602" s="30" t="n"/>
    </row>
    <row r="1603">
      <c r="L1603" s="30" t="n"/>
    </row>
    <row r="1604">
      <c r="L1604" s="30" t="n"/>
    </row>
    <row r="1605">
      <c r="L1605" s="30" t="n"/>
    </row>
    <row r="1606">
      <c r="L1606" s="30" t="n"/>
    </row>
    <row r="1607">
      <c r="L1607" s="30" t="n"/>
    </row>
    <row r="1608">
      <c r="L1608" s="30" t="n"/>
    </row>
    <row r="1609">
      <c r="L1609" s="30" t="n"/>
    </row>
    <row r="1610">
      <c r="L1610" s="30" t="n"/>
    </row>
    <row r="1611">
      <c r="L1611" s="30" t="n"/>
    </row>
    <row r="1612">
      <c r="L1612" s="30" t="n"/>
    </row>
    <row r="1613">
      <c r="L1613" s="30" t="n"/>
    </row>
    <row r="1614">
      <c r="L1614" s="30" t="n"/>
    </row>
    <row r="1615">
      <c r="L1615" s="30" t="n"/>
    </row>
    <row r="1616">
      <c r="L1616" s="30" t="n"/>
    </row>
    <row r="1617">
      <c r="L1617" s="30" t="n"/>
    </row>
    <row r="1618">
      <c r="L1618" s="30" t="n"/>
    </row>
    <row r="1619">
      <c r="L1619" s="30" t="n"/>
    </row>
    <row r="1620">
      <c r="L1620" s="30" t="n"/>
    </row>
    <row r="1621">
      <c r="L1621" s="30" t="n"/>
    </row>
    <row r="1622">
      <c r="L1622" s="30" t="n"/>
    </row>
    <row r="1623">
      <c r="L1623" s="30" t="n"/>
    </row>
    <row r="1624">
      <c r="L1624" s="30" t="n"/>
    </row>
    <row r="1625">
      <c r="L1625" s="30" t="n"/>
    </row>
    <row r="1626">
      <c r="L1626" s="30" t="n"/>
    </row>
    <row r="1627">
      <c r="L1627" s="30" t="n"/>
    </row>
    <row r="1628">
      <c r="L1628" s="30" t="n"/>
    </row>
    <row r="1629">
      <c r="L1629" s="30" t="n"/>
    </row>
    <row r="1630">
      <c r="L1630" s="30" t="n"/>
    </row>
    <row r="1631">
      <c r="L1631" s="30" t="n"/>
    </row>
    <row r="1632">
      <c r="L1632" s="30" t="n"/>
    </row>
    <row r="1633">
      <c r="L1633" s="30" t="n"/>
    </row>
    <row r="1634">
      <c r="L1634" s="30" t="n"/>
    </row>
    <row r="1635">
      <c r="L1635" s="30" t="n"/>
    </row>
    <row r="1636">
      <c r="L1636" s="30" t="n"/>
    </row>
    <row r="1637">
      <c r="L1637" s="30" t="n"/>
    </row>
    <row r="1638">
      <c r="L1638" s="30" t="n"/>
    </row>
    <row r="1639">
      <c r="L1639" s="30" t="n"/>
    </row>
    <row r="1640">
      <c r="L1640" s="30" t="n"/>
    </row>
    <row r="1641">
      <c r="L1641" s="30" t="n"/>
    </row>
    <row r="1642">
      <c r="L1642" s="30" t="n"/>
    </row>
    <row r="1643">
      <c r="L1643" s="30" t="n"/>
    </row>
    <row r="1644">
      <c r="L1644" s="30" t="n"/>
    </row>
    <row r="1645">
      <c r="L1645" s="30" t="n"/>
    </row>
    <row r="1646">
      <c r="L1646" s="30" t="n"/>
    </row>
    <row r="1647">
      <c r="L1647" s="30" t="n"/>
    </row>
    <row r="1648">
      <c r="L1648" s="30" t="n"/>
    </row>
    <row r="1649">
      <c r="L1649" s="30" t="n"/>
    </row>
    <row r="1650">
      <c r="L1650" s="30" t="n"/>
    </row>
    <row r="1651">
      <c r="L1651" s="30" t="n"/>
    </row>
    <row r="1652">
      <c r="L1652" s="30" t="n"/>
    </row>
    <row r="1653">
      <c r="L1653" s="30" t="n"/>
    </row>
    <row r="1654">
      <c r="L1654" s="30" t="n"/>
    </row>
    <row r="1655">
      <c r="L1655" s="30" t="n"/>
    </row>
    <row r="1656">
      <c r="L1656" s="30" t="n"/>
    </row>
    <row r="1657">
      <c r="L1657" s="30" t="n"/>
    </row>
    <row r="1658">
      <c r="L1658" s="30" t="n"/>
    </row>
    <row r="1659">
      <c r="L1659" s="30" t="n"/>
    </row>
    <row r="1660">
      <c r="L1660" s="30" t="n"/>
    </row>
    <row r="1661">
      <c r="L1661" s="30" t="n"/>
    </row>
    <row r="1662">
      <c r="L1662" s="30" t="n"/>
    </row>
    <row r="1663">
      <c r="L1663" s="30" t="n"/>
    </row>
    <row r="1664">
      <c r="L1664" s="30" t="n"/>
    </row>
    <row r="1665">
      <c r="L1665" s="30" t="n"/>
    </row>
    <row r="1666">
      <c r="L1666" s="30" t="n"/>
    </row>
    <row r="1667">
      <c r="L1667" s="30" t="n"/>
    </row>
    <row r="1668">
      <c r="L1668" s="30" t="n"/>
    </row>
    <row r="1669">
      <c r="L1669" s="30" t="n"/>
    </row>
    <row r="1670">
      <c r="L1670" s="30" t="n"/>
    </row>
    <row r="1671">
      <c r="L1671" s="30" t="n"/>
    </row>
    <row r="1672">
      <c r="L1672" s="30" t="n"/>
    </row>
    <row r="1673">
      <c r="L1673" s="30" t="n"/>
    </row>
    <row r="1674">
      <c r="L1674" s="30" t="n"/>
    </row>
    <row r="1675">
      <c r="L1675" s="30" t="n"/>
    </row>
    <row r="1676">
      <c r="L1676" s="30" t="n"/>
    </row>
    <row r="1677">
      <c r="L1677" s="30" t="n"/>
    </row>
    <row r="1678">
      <c r="L1678" s="30" t="n"/>
    </row>
    <row r="1679">
      <c r="L1679" s="30" t="n"/>
    </row>
    <row r="1680">
      <c r="L1680" s="30" t="n"/>
    </row>
    <row r="1681">
      <c r="L1681" s="30" t="n"/>
    </row>
    <row r="1682">
      <c r="L1682" s="30" t="n"/>
    </row>
    <row r="1683">
      <c r="L1683" s="30" t="n"/>
    </row>
    <row r="1684">
      <c r="L1684" s="30" t="n"/>
    </row>
    <row r="1685">
      <c r="L1685" s="30" t="n"/>
    </row>
    <row r="1686">
      <c r="L1686" s="30" t="n"/>
    </row>
    <row r="1687">
      <c r="L1687" s="30" t="n"/>
    </row>
    <row r="1688">
      <c r="L1688" s="30" t="n"/>
    </row>
    <row r="1689">
      <c r="L1689" s="30" t="n"/>
    </row>
    <row r="1690">
      <c r="L1690" s="30" t="n"/>
    </row>
    <row r="1691">
      <c r="L1691" s="30" t="n"/>
    </row>
    <row r="1692">
      <c r="L1692" s="30" t="n"/>
    </row>
    <row r="1693">
      <c r="L1693" s="30" t="n"/>
    </row>
    <row r="1694">
      <c r="L1694" s="30" t="n"/>
    </row>
    <row r="1695">
      <c r="L1695" s="30" t="n"/>
    </row>
    <row r="1696">
      <c r="L1696" s="30" t="n"/>
    </row>
    <row r="1697">
      <c r="L1697" s="30" t="n"/>
    </row>
    <row r="1698">
      <c r="L1698" s="30" t="n"/>
    </row>
    <row r="1699">
      <c r="L1699" s="30" t="n"/>
    </row>
    <row r="1700">
      <c r="L1700" s="30" t="n"/>
    </row>
    <row r="1701">
      <c r="L1701" s="30" t="n"/>
    </row>
    <row r="1702">
      <c r="L1702" s="30" t="n"/>
    </row>
    <row r="1703">
      <c r="L1703" s="30" t="n"/>
    </row>
    <row r="1704">
      <c r="L1704" s="30" t="n"/>
    </row>
    <row r="1705">
      <c r="L1705" s="30" t="n"/>
    </row>
    <row r="1706">
      <c r="L1706" s="30" t="n"/>
    </row>
    <row r="1707">
      <c r="L1707" s="30" t="n"/>
    </row>
    <row r="1708">
      <c r="L1708" s="30" t="n"/>
    </row>
    <row r="1709">
      <c r="L1709" s="30" t="n"/>
    </row>
    <row r="1710">
      <c r="L1710" s="30" t="n"/>
    </row>
    <row r="1711">
      <c r="L1711" s="30" t="n"/>
    </row>
    <row r="1712">
      <c r="L1712" s="30" t="n"/>
    </row>
    <row r="1713">
      <c r="L1713" s="30" t="n"/>
    </row>
    <row r="1714">
      <c r="L1714" s="30" t="n"/>
    </row>
    <row r="1715">
      <c r="L1715" s="30" t="n"/>
    </row>
    <row r="1716">
      <c r="L1716" s="30" t="n"/>
    </row>
    <row r="1717">
      <c r="L1717" s="30" t="n"/>
    </row>
    <row r="1718">
      <c r="L1718" s="30" t="n"/>
    </row>
    <row r="1719">
      <c r="L1719" s="30" t="n"/>
    </row>
    <row r="1720">
      <c r="L1720" s="30" t="n"/>
    </row>
    <row r="1721">
      <c r="L1721" s="30" t="n"/>
    </row>
    <row r="1722">
      <c r="L1722" s="30" t="n"/>
    </row>
    <row r="1723">
      <c r="L1723" s="30" t="n"/>
    </row>
    <row r="1724">
      <c r="L1724" s="30" t="n"/>
    </row>
    <row r="1725">
      <c r="L1725" s="30" t="n"/>
    </row>
    <row r="1726">
      <c r="L1726" s="30" t="n"/>
    </row>
    <row r="1727">
      <c r="L1727" s="30" t="n"/>
    </row>
    <row r="1728">
      <c r="L1728" s="30" t="n"/>
    </row>
    <row r="1729">
      <c r="L1729" s="30" t="n"/>
    </row>
    <row r="1730">
      <c r="L1730" s="30" t="n"/>
    </row>
    <row r="1731">
      <c r="L1731" s="30" t="n"/>
    </row>
    <row r="1732">
      <c r="L1732" s="30" t="n"/>
    </row>
    <row r="1733">
      <c r="L1733" s="30" t="n"/>
    </row>
    <row r="1734">
      <c r="L1734" s="30" t="n"/>
    </row>
    <row r="1735">
      <c r="L1735" s="30" t="n"/>
    </row>
    <row r="1736">
      <c r="L1736" s="30" t="n"/>
    </row>
    <row r="1737">
      <c r="L1737" s="30" t="n"/>
    </row>
    <row r="1738">
      <c r="L1738" s="30" t="n"/>
    </row>
    <row r="1739">
      <c r="L1739" s="30" t="n"/>
    </row>
    <row r="1740">
      <c r="L1740" s="30" t="n"/>
    </row>
    <row r="1741">
      <c r="L1741" s="30" t="n"/>
    </row>
    <row r="1742">
      <c r="L1742" s="30" t="n"/>
    </row>
    <row r="1743">
      <c r="L1743" s="30" t="n"/>
    </row>
    <row r="1744">
      <c r="L1744" s="30" t="n"/>
    </row>
    <row r="1745">
      <c r="L1745" s="30" t="n"/>
    </row>
    <row r="1746">
      <c r="L1746" s="30" t="n"/>
    </row>
    <row r="1747">
      <c r="L1747" s="30" t="n"/>
    </row>
    <row r="1748">
      <c r="L1748" s="30" t="n"/>
    </row>
    <row r="1749">
      <c r="L1749" s="30" t="n"/>
    </row>
    <row r="1750">
      <c r="L1750" s="30" t="n"/>
    </row>
    <row r="1751">
      <c r="L1751" s="30" t="n"/>
    </row>
    <row r="1752">
      <c r="L1752" s="30" t="n"/>
    </row>
    <row r="1753">
      <c r="L1753" s="30" t="n"/>
    </row>
    <row r="1754">
      <c r="L1754" s="30" t="n"/>
    </row>
    <row r="1755">
      <c r="L1755" s="30" t="n"/>
    </row>
    <row r="1756">
      <c r="L1756" s="30" t="n"/>
    </row>
    <row r="1757">
      <c r="L1757" s="30" t="n"/>
    </row>
    <row r="1758">
      <c r="L1758" s="30" t="n"/>
    </row>
    <row r="1759">
      <c r="L1759" s="30" t="n"/>
    </row>
    <row r="1760">
      <c r="L1760" s="30" t="n"/>
    </row>
    <row r="1761">
      <c r="L1761" s="30" t="n"/>
    </row>
    <row r="1762">
      <c r="L1762" s="30" t="n"/>
    </row>
    <row r="1763">
      <c r="L1763" s="30" t="n"/>
    </row>
    <row r="1764">
      <c r="L1764" s="30" t="n"/>
    </row>
    <row r="1765">
      <c r="L1765" s="30" t="n"/>
    </row>
    <row r="1766">
      <c r="L1766" s="30" t="n"/>
    </row>
    <row r="1767">
      <c r="L1767" s="30" t="n"/>
    </row>
    <row r="1768">
      <c r="L1768" s="30" t="n"/>
    </row>
    <row r="1769">
      <c r="L1769" s="30" t="n"/>
    </row>
    <row r="1770">
      <c r="L1770" s="30" t="n"/>
    </row>
    <row r="1771">
      <c r="L1771" s="30" t="n"/>
    </row>
    <row r="1772">
      <c r="L1772" s="30" t="n"/>
    </row>
    <row r="1773">
      <c r="L1773" s="30" t="n"/>
    </row>
    <row r="1774">
      <c r="L1774" s="30" t="n"/>
    </row>
    <row r="1775">
      <c r="L1775" s="30" t="n"/>
    </row>
    <row r="1776">
      <c r="L1776" s="30" t="n"/>
    </row>
    <row r="1777">
      <c r="L1777" s="30" t="n"/>
    </row>
    <row r="1778">
      <c r="L1778" s="30" t="n"/>
    </row>
    <row r="1779">
      <c r="L1779" s="30" t="n"/>
    </row>
    <row r="1780">
      <c r="L1780" s="30" t="n"/>
    </row>
    <row r="1781">
      <c r="L1781" s="30" t="n"/>
    </row>
    <row r="1782">
      <c r="L1782" s="30" t="n"/>
    </row>
    <row r="1783">
      <c r="L1783" s="30" t="n"/>
    </row>
    <row r="1784">
      <c r="L1784" s="30" t="n"/>
    </row>
    <row r="1785">
      <c r="L1785" s="30" t="n"/>
    </row>
    <row r="1786">
      <c r="L1786" s="30" t="n"/>
    </row>
    <row r="1787">
      <c r="L1787" s="30" t="n"/>
    </row>
    <row r="1788">
      <c r="L1788" s="30" t="n"/>
    </row>
    <row r="1789">
      <c r="L1789" s="30" t="n"/>
    </row>
    <row r="1790">
      <c r="L1790" s="30" t="n"/>
    </row>
    <row r="1791">
      <c r="L1791" s="30" t="n"/>
    </row>
    <row r="1792">
      <c r="L1792" s="30" t="n"/>
    </row>
    <row r="1793">
      <c r="L1793" s="30" t="n"/>
    </row>
    <row r="1794">
      <c r="L1794" s="30" t="n"/>
    </row>
    <row r="1795">
      <c r="L1795" s="30" t="n"/>
    </row>
    <row r="1796">
      <c r="L1796" s="30" t="n"/>
    </row>
    <row r="1797">
      <c r="L1797" s="30" t="n"/>
    </row>
    <row r="1798">
      <c r="L1798" s="30" t="n"/>
    </row>
    <row r="1799">
      <c r="L1799" s="30" t="n"/>
    </row>
    <row r="1800">
      <c r="L1800" s="30" t="n"/>
    </row>
    <row r="1801">
      <c r="L1801" s="30" t="n"/>
    </row>
    <row r="1802">
      <c r="L1802" s="30" t="n"/>
    </row>
    <row r="1803">
      <c r="L1803" s="30" t="n"/>
    </row>
    <row r="1804">
      <c r="L1804" s="30" t="n"/>
    </row>
    <row r="1805">
      <c r="L1805" s="30" t="n"/>
    </row>
    <row r="1806">
      <c r="L1806" s="30" t="n"/>
    </row>
    <row r="1807">
      <c r="L1807" s="30" t="n"/>
    </row>
    <row r="1808">
      <c r="L1808" s="30" t="n"/>
    </row>
    <row r="1809">
      <c r="L1809" s="30" t="n"/>
    </row>
    <row r="1810">
      <c r="L1810" s="30" t="n"/>
    </row>
    <row r="1811">
      <c r="L1811" s="30" t="n"/>
    </row>
    <row r="1812">
      <c r="L1812" s="30" t="n"/>
    </row>
    <row r="1813">
      <c r="L1813" s="30" t="n"/>
    </row>
    <row r="1814">
      <c r="L1814" s="30" t="n"/>
    </row>
    <row r="1815">
      <c r="L1815" s="30" t="n"/>
    </row>
    <row r="1816">
      <c r="L1816" s="30" t="n"/>
    </row>
    <row r="1817">
      <c r="L1817" s="30" t="n"/>
    </row>
    <row r="1818">
      <c r="L1818" s="30" t="n"/>
    </row>
    <row r="1819">
      <c r="L1819" s="30" t="n"/>
    </row>
    <row r="1820">
      <c r="L1820" s="30" t="n"/>
    </row>
    <row r="1821">
      <c r="L1821" s="30" t="n"/>
    </row>
    <row r="1822">
      <c r="L1822" s="30" t="n"/>
    </row>
    <row r="1823">
      <c r="L1823" s="30" t="n"/>
    </row>
    <row r="1824">
      <c r="L1824" s="30" t="n"/>
    </row>
    <row r="1825">
      <c r="L1825" s="30" t="n"/>
    </row>
    <row r="1826">
      <c r="L1826" s="30" t="n"/>
    </row>
    <row r="1827">
      <c r="L1827" s="30" t="n"/>
    </row>
    <row r="1828">
      <c r="L1828" s="30" t="n"/>
    </row>
    <row r="1829">
      <c r="L1829" s="30" t="n"/>
    </row>
    <row r="1830">
      <c r="L1830" s="30" t="n"/>
    </row>
    <row r="1831">
      <c r="L1831" s="30" t="n"/>
    </row>
    <row r="1832">
      <c r="L1832" s="30" t="n"/>
    </row>
    <row r="1833">
      <c r="L1833" s="30" t="n"/>
    </row>
    <row r="1834">
      <c r="L1834" s="30" t="n"/>
    </row>
    <row r="1835">
      <c r="L1835" s="30" t="n"/>
    </row>
    <row r="1836">
      <c r="L1836" s="30" t="n"/>
    </row>
    <row r="1837">
      <c r="L1837" s="30" t="n"/>
    </row>
    <row r="1838">
      <c r="L1838" s="30" t="n"/>
    </row>
    <row r="1839">
      <c r="L1839" s="30" t="n"/>
    </row>
    <row r="1840">
      <c r="L1840" s="30" t="n"/>
    </row>
    <row r="1841">
      <c r="L1841" s="30" t="n"/>
    </row>
    <row r="1842">
      <c r="L1842" s="30" t="n"/>
    </row>
    <row r="1843">
      <c r="L1843" s="30" t="n"/>
    </row>
    <row r="1844">
      <c r="L1844" s="30" t="n"/>
    </row>
    <row r="1845">
      <c r="L1845" s="30" t="n"/>
    </row>
    <row r="1846">
      <c r="L1846" s="30" t="n"/>
    </row>
    <row r="1847">
      <c r="L1847" s="30" t="n"/>
    </row>
    <row r="1848">
      <c r="L1848" s="30" t="n"/>
    </row>
    <row r="1849">
      <c r="L1849" s="30" t="n"/>
    </row>
    <row r="1850">
      <c r="L1850" s="30" t="n"/>
    </row>
    <row r="1851">
      <c r="L1851" s="30" t="n"/>
    </row>
    <row r="1852">
      <c r="L1852" s="30" t="n"/>
    </row>
    <row r="1853">
      <c r="L1853" s="30" t="n"/>
    </row>
    <row r="1854">
      <c r="L1854" s="30" t="n"/>
    </row>
    <row r="1855">
      <c r="L1855" s="30" t="n"/>
    </row>
    <row r="1856">
      <c r="L1856" s="30" t="n"/>
    </row>
    <row r="1857">
      <c r="L1857" s="30" t="n"/>
    </row>
    <row r="1858">
      <c r="L1858" s="30" t="n"/>
    </row>
    <row r="1859">
      <c r="L1859" s="30" t="n"/>
    </row>
    <row r="1860">
      <c r="L1860" s="30" t="n"/>
    </row>
    <row r="1861">
      <c r="L1861" s="30" t="n"/>
    </row>
    <row r="1862">
      <c r="L1862" s="30" t="n"/>
    </row>
    <row r="1863">
      <c r="L1863" s="30" t="n"/>
    </row>
    <row r="1864">
      <c r="L1864" s="30" t="n"/>
    </row>
    <row r="1865">
      <c r="L1865" s="30" t="n"/>
    </row>
    <row r="1866">
      <c r="L1866" s="30" t="n"/>
    </row>
    <row r="1867">
      <c r="L1867" s="30" t="n"/>
    </row>
    <row r="1868">
      <c r="L1868" s="30" t="n"/>
    </row>
    <row r="1869">
      <c r="L1869" s="30" t="n"/>
    </row>
    <row r="1870">
      <c r="L1870" s="30" t="n"/>
    </row>
    <row r="1871">
      <c r="L1871" s="30" t="n"/>
    </row>
    <row r="1872">
      <c r="L1872" s="30" t="n"/>
    </row>
    <row r="1873">
      <c r="L1873" s="30" t="n"/>
    </row>
    <row r="1874">
      <c r="L1874" s="30" t="n"/>
    </row>
    <row r="1875">
      <c r="L1875" s="30" t="n"/>
    </row>
    <row r="1876">
      <c r="L1876" s="30" t="n"/>
    </row>
    <row r="1877">
      <c r="L1877" s="30" t="n"/>
    </row>
    <row r="1878">
      <c r="L1878" s="30" t="n"/>
    </row>
    <row r="1879">
      <c r="L1879" s="30" t="n"/>
    </row>
    <row r="1880">
      <c r="L1880" s="30" t="n"/>
    </row>
    <row r="1881">
      <c r="L1881" s="30" t="n"/>
    </row>
    <row r="1882">
      <c r="L1882" s="30" t="n"/>
    </row>
    <row r="1883">
      <c r="L1883" s="30" t="n"/>
    </row>
    <row r="1884">
      <c r="L1884" s="30" t="n"/>
    </row>
    <row r="1885">
      <c r="L1885" s="30" t="n"/>
    </row>
    <row r="1886">
      <c r="L1886" s="30" t="n"/>
    </row>
    <row r="1887">
      <c r="L1887" s="30" t="n"/>
    </row>
    <row r="1888">
      <c r="L1888" s="30" t="n"/>
    </row>
    <row r="1889">
      <c r="L1889" s="30" t="n"/>
    </row>
    <row r="1890">
      <c r="L1890" s="30" t="n"/>
    </row>
    <row r="1891">
      <c r="L1891" s="30" t="n"/>
    </row>
    <row r="1892">
      <c r="L1892" s="30" t="n"/>
    </row>
    <row r="1893">
      <c r="L1893" s="30" t="n"/>
    </row>
    <row r="1894">
      <c r="L1894" s="30" t="n"/>
    </row>
    <row r="1895">
      <c r="L1895" s="30" t="n"/>
    </row>
    <row r="1896">
      <c r="L1896" s="30" t="n"/>
    </row>
    <row r="1897">
      <c r="L1897" s="30" t="n"/>
    </row>
    <row r="1898">
      <c r="L1898" s="30" t="n"/>
    </row>
    <row r="1899">
      <c r="L1899" s="30" t="n"/>
    </row>
    <row r="1900">
      <c r="L1900" s="30" t="n"/>
    </row>
    <row r="1901">
      <c r="L1901" s="30" t="n"/>
    </row>
    <row r="1902">
      <c r="L1902" s="30" t="n"/>
    </row>
    <row r="1903">
      <c r="L1903" s="30" t="n"/>
    </row>
    <row r="1904">
      <c r="L1904" s="30" t="n"/>
    </row>
    <row r="1905">
      <c r="L1905" s="30" t="n"/>
    </row>
    <row r="1906">
      <c r="L1906" s="30" t="n"/>
    </row>
    <row r="1907">
      <c r="L1907" s="30" t="n"/>
    </row>
    <row r="1908">
      <c r="L1908" s="30" t="n"/>
    </row>
    <row r="1909">
      <c r="L1909" s="30" t="n"/>
    </row>
    <row r="1910">
      <c r="L1910" s="30" t="n"/>
    </row>
    <row r="1911">
      <c r="L1911" s="30" t="n"/>
    </row>
    <row r="1912">
      <c r="L1912" s="30" t="n"/>
    </row>
    <row r="1913">
      <c r="L1913" s="30" t="n"/>
    </row>
    <row r="1914">
      <c r="L1914" s="30" t="n"/>
    </row>
    <row r="1915">
      <c r="L1915" s="30" t="n"/>
    </row>
    <row r="1916">
      <c r="L1916" s="30" t="n"/>
    </row>
    <row r="1917">
      <c r="L1917" s="30" t="n"/>
    </row>
    <row r="1918">
      <c r="L1918" s="30" t="n"/>
    </row>
    <row r="1919">
      <c r="L1919" s="30" t="n"/>
    </row>
    <row r="1920">
      <c r="L1920" s="30" t="n"/>
    </row>
    <row r="1921">
      <c r="L1921" s="30" t="n"/>
    </row>
    <row r="1922">
      <c r="L1922" s="30" t="n"/>
    </row>
    <row r="1923">
      <c r="L1923" s="30" t="n"/>
    </row>
    <row r="1924">
      <c r="L1924" s="30" t="n"/>
    </row>
    <row r="1925">
      <c r="L1925" s="30" t="n"/>
    </row>
    <row r="1926">
      <c r="L1926" s="30" t="n"/>
    </row>
    <row r="1927">
      <c r="L1927" s="30" t="n"/>
    </row>
    <row r="1928">
      <c r="L1928" s="30" t="n"/>
    </row>
    <row r="1929">
      <c r="L1929" s="30" t="n"/>
    </row>
    <row r="1930">
      <c r="L1930" s="30" t="n"/>
    </row>
    <row r="1931">
      <c r="L1931" s="30" t="n"/>
    </row>
    <row r="1932">
      <c r="L1932" s="30" t="n"/>
    </row>
    <row r="1933">
      <c r="L1933" s="30" t="n"/>
    </row>
    <row r="1934">
      <c r="L1934" s="30" t="n"/>
    </row>
    <row r="1935">
      <c r="L1935" s="30" t="n"/>
    </row>
    <row r="1936">
      <c r="L1936" s="30" t="n"/>
    </row>
    <row r="1937">
      <c r="L1937" s="30" t="n"/>
    </row>
    <row r="1938">
      <c r="L1938" s="30" t="n"/>
    </row>
    <row r="1939">
      <c r="L1939" s="30" t="n"/>
    </row>
    <row r="1940">
      <c r="L1940" s="30" t="n"/>
    </row>
    <row r="1941">
      <c r="L1941" s="30" t="n"/>
    </row>
    <row r="1942">
      <c r="L1942" s="30" t="n"/>
    </row>
    <row r="1943">
      <c r="L1943" s="30" t="n"/>
    </row>
    <row r="1944">
      <c r="L1944" s="30" t="n"/>
    </row>
    <row r="1945">
      <c r="L1945" s="30" t="n"/>
    </row>
    <row r="1946">
      <c r="L1946" s="30" t="n"/>
    </row>
    <row r="1947">
      <c r="L1947" s="30" t="n"/>
    </row>
    <row r="1948">
      <c r="L1948" s="30" t="n"/>
    </row>
    <row r="1949">
      <c r="L1949" s="30" t="n"/>
    </row>
    <row r="1950">
      <c r="L1950" s="30" t="n"/>
    </row>
    <row r="1951">
      <c r="L1951" s="30" t="n"/>
    </row>
    <row r="1952">
      <c r="L1952" s="30" t="n"/>
    </row>
    <row r="1953">
      <c r="L1953" s="30" t="n"/>
    </row>
    <row r="1954">
      <c r="L1954" s="30" t="n"/>
    </row>
    <row r="1955">
      <c r="L1955" s="30" t="n"/>
    </row>
    <row r="1956">
      <c r="L1956" s="30" t="n"/>
    </row>
    <row r="1957">
      <c r="L1957" s="30" t="n"/>
    </row>
    <row r="1958">
      <c r="L1958" s="30" t="n"/>
    </row>
    <row r="1959">
      <c r="L1959" s="30" t="n"/>
    </row>
    <row r="1960">
      <c r="L1960" s="30" t="n"/>
    </row>
    <row r="1961">
      <c r="L1961" s="30" t="n"/>
    </row>
    <row r="1962">
      <c r="L1962" s="30" t="n"/>
    </row>
    <row r="1963">
      <c r="L1963" s="30" t="n"/>
    </row>
    <row r="1964">
      <c r="L1964" s="30" t="n"/>
    </row>
    <row r="1965">
      <c r="L1965" s="30" t="n"/>
    </row>
    <row r="1966">
      <c r="L1966" s="30" t="n"/>
    </row>
    <row r="1967">
      <c r="L1967" s="30" t="n"/>
    </row>
    <row r="1968">
      <c r="L1968" s="30" t="n"/>
    </row>
    <row r="1969">
      <c r="L1969" s="30" t="n"/>
    </row>
    <row r="1970">
      <c r="L1970" s="30" t="n"/>
    </row>
    <row r="1971">
      <c r="L1971" s="30" t="n"/>
    </row>
    <row r="1972">
      <c r="L1972" s="30" t="n"/>
    </row>
    <row r="1973">
      <c r="L1973" s="30" t="n"/>
    </row>
    <row r="1974">
      <c r="L1974" s="30" t="n"/>
    </row>
    <row r="1975">
      <c r="L1975" s="30" t="n"/>
    </row>
    <row r="1976">
      <c r="L1976" s="30" t="n"/>
    </row>
    <row r="1977">
      <c r="L1977" s="30" t="n"/>
    </row>
    <row r="1978">
      <c r="L1978" s="30" t="n"/>
    </row>
    <row r="1979">
      <c r="L1979" s="30" t="n"/>
    </row>
    <row r="1980">
      <c r="L1980" s="30" t="n"/>
    </row>
    <row r="1981">
      <c r="L1981" s="30" t="n"/>
    </row>
    <row r="1982">
      <c r="L1982" s="30" t="n"/>
    </row>
    <row r="1983">
      <c r="L1983" s="30" t="n"/>
    </row>
    <row r="1984">
      <c r="L1984" s="30" t="n"/>
    </row>
    <row r="1985">
      <c r="L1985" s="30" t="n"/>
    </row>
    <row r="1986">
      <c r="L1986" s="30" t="n"/>
    </row>
    <row r="1987">
      <c r="L1987" s="30" t="n"/>
    </row>
    <row r="1988">
      <c r="L1988" s="30" t="n"/>
    </row>
    <row r="1989">
      <c r="L1989" s="30" t="n"/>
    </row>
    <row r="1990">
      <c r="L1990" s="30" t="n"/>
    </row>
    <row r="1991">
      <c r="L1991" s="30" t="n"/>
    </row>
    <row r="1992">
      <c r="L1992" s="30" t="n"/>
    </row>
    <row r="1993">
      <c r="L1993" s="30" t="n"/>
    </row>
    <row r="1994">
      <c r="L1994" s="30" t="n"/>
    </row>
    <row r="1995">
      <c r="L1995" s="30" t="n"/>
    </row>
    <row r="1996">
      <c r="L1996" s="30" t="n"/>
    </row>
    <row r="1997">
      <c r="L1997" s="30" t="n"/>
    </row>
    <row r="1998">
      <c r="L1998" s="30" t="n"/>
    </row>
    <row r="1999">
      <c r="L1999" s="30" t="n"/>
    </row>
    <row r="2000">
      <c r="L2000" s="30" t="n"/>
    </row>
    <row r="2001">
      <c r="L2001" s="30" t="n"/>
    </row>
    <row r="2002">
      <c r="L2002" s="30" t="n"/>
    </row>
    <row r="2003">
      <c r="L2003" s="30" t="n"/>
    </row>
    <row r="2004">
      <c r="L2004" s="30" t="n"/>
    </row>
    <row r="2005">
      <c r="L2005" s="30" t="n"/>
    </row>
    <row r="2006">
      <c r="L2006" s="30" t="n"/>
    </row>
    <row r="2007">
      <c r="L2007" s="30" t="n"/>
    </row>
    <row r="2008">
      <c r="L2008" s="30" t="n"/>
    </row>
    <row r="2009">
      <c r="L2009" s="30" t="n"/>
    </row>
    <row r="2010">
      <c r="L2010" s="30" t="n"/>
    </row>
    <row r="2011">
      <c r="L2011" s="30" t="n"/>
    </row>
    <row r="2012">
      <c r="L2012" s="30" t="n"/>
    </row>
    <row r="2013">
      <c r="L2013" s="30" t="n"/>
    </row>
    <row r="2014">
      <c r="L2014" s="30" t="n"/>
    </row>
    <row r="2015">
      <c r="L2015" s="30" t="n"/>
    </row>
    <row r="2016">
      <c r="L2016" s="30" t="n"/>
    </row>
    <row r="2017">
      <c r="L2017" s="30" t="n"/>
    </row>
    <row r="2018">
      <c r="L2018" s="30" t="n"/>
    </row>
    <row r="2019">
      <c r="L2019" s="30" t="n"/>
    </row>
    <row r="2020">
      <c r="L2020" s="30" t="n"/>
    </row>
    <row r="2021">
      <c r="L2021" s="30" t="n"/>
    </row>
    <row r="2022">
      <c r="L2022" s="30" t="n"/>
    </row>
    <row r="2023">
      <c r="L2023" s="30" t="n"/>
    </row>
    <row r="2024">
      <c r="L2024" s="30" t="n"/>
    </row>
    <row r="2025">
      <c r="L2025" s="30" t="n"/>
    </row>
    <row r="2026">
      <c r="L2026" s="30" t="n"/>
    </row>
    <row r="2027">
      <c r="L2027" s="30" t="n"/>
    </row>
    <row r="2028">
      <c r="L2028" s="30" t="n"/>
    </row>
    <row r="2029">
      <c r="L2029" s="30" t="n"/>
    </row>
    <row r="2030">
      <c r="L2030" s="30" t="n"/>
    </row>
    <row r="2031">
      <c r="L2031" s="30" t="n"/>
    </row>
    <row r="2032">
      <c r="L2032" s="30" t="n"/>
    </row>
    <row r="2033">
      <c r="L2033" s="30" t="n"/>
    </row>
    <row r="2034">
      <c r="L2034" s="30" t="n"/>
    </row>
    <row r="2035">
      <c r="L2035" s="30" t="n"/>
    </row>
    <row r="2036">
      <c r="L2036" s="30" t="n"/>
    </row>
    <row r="2037">
      <c r="L2037" s="30" t="n"/>
    </row>
    <row r="2038">
      <c r="L2038" s="30" t="n"/>
    </row>
    <row r="2039">
      <c r="L2039" s="30" t="n"/>
    </row>
    <row r="2040">
      <c r="L2040" s="30" t="n"/>
    </row>
    <row r="2041">
      <c r="L2041" s="30" t="n"/>
    </row>
    <row r="2042">
      <c r="L2042" s="30" t="n"/>
    </row>
    <row r="2043">
      <c r="L2043" s="30" t="n"/>
    </row>
    <row r="2044">
      <c r="L2044" s="30" t="n"/>
    </row>
    <row r="2045">
      <c r="L2045" s="30" t="n"/>
    </row>
    <row r="2046">
      <c r="L2046" s="30" t="n"/>
    </row>
    <row r="2047">
      <c r="L2047" s="30" t="n"/>
    </row>
    <row r="2048">
      <c r="L2048" s="30" t="n"/>
    </row>
    <row r="2049">
      <c r="L2049" s="30" t="n"/>
    </row>
    <row r="2050">
      <c r="L2050" s="30" t="n"/>
    </row>
    <row r="2051">
      <c r="L2051" s="30" t="n"/>
    </row>
    <row r="2052">
      <c r="L2052" s="30" t="n"/>
    </row>
    <row r="2053">
      <c r="L2053" s="30" t="n"/>
    </row>
    <row r="2054">
      <c r="L2054" s="30" t="n"/>
    </row>
    <row r="2055">
      <c r="L2055" s="30" t="n"/>
    </row>
    <row r="2056">
      <c r="L2056" s="30" t="n"/>
    </row>
    <row r="2057">
      <c r="L2057" s="30" t="n"/>
    </row>
    <row r="2058">
      <c r="L2058" s="30" t="n"/>
    </row>
    <row r="2059">
      <c r="L2059" s="30" t="n"/>
    </row>
    <row r="2060">
      <c r="L2060" s="30" t="n"/>
    </row>
    <row r="2061">
      <c r="L2061" s="30" t="n"/>
    </row>
    <row r="2062">
      <c r="L2062" s="30" t="n"/>
    </row>
    <row r="2063">
      <c r="L2063" s="30" t="n"/>
    </row>
    <row r="2064">
      <c r="L2064" s="30" t="n"/>
    </row>
    <row r="2065">
      <c r="L2065" s="30" t="n"/>
    </row>
    <row r="2066">
      <c r="L2066" s="30" t="n"/>
    </row>
    <row r="2067">
      <c r="L2067" s="30" t="n"/>
    </row>
    <row r="2068">
      <c r="L2068" s="30" t="n"/>
    </row>
    <row r="2069">
      <c r="L2069" s="30" t="n"/>
    </row>
    <row r="2070">
      <c r="L2070" s="30" t="n"/>
    </row>
    <row r="2071">
      <c r="L2071" s="30" t="n"/>
    </row>
    <row r="2072">
      <c r="L2072" s="30" t="n"/>
    </row>
    <row r="2073">
      <c r="L2073" s="30" t="n"/>
    </row>
    <row r="2074">
      <c r="L2074" s="30" t="n"/>
    </row>
    <row r="2075">
      <c r="L2075" s="30" t="n"/>
    </row>
    <row r="2076">
      <c r="L2076" s="30" t="n"/>
    </row>
    <row r="2077">
      <c r="L2077" s="30" t="n"/>
    </row>
    <row r="2078">
      <c r="L2078" s="30" t="n"/>
    </row>
    <row r="2079">
      <c r="L2079" s="30" t="n"/>
    </row>
    <row r="2080">
      <c r="L2080" s="30" t="n"/>
    </row>
    <row r="2081">
      <c r="L2081" s="30" t="n"/>
    </row>
    <row r="2082">
      <c r="L2082" s="30" t="n"/>
    </row>
    <row r="2083">
      <c r="L2083" s="30" t="n"/>
    </row>
    <row r="2084">
      <c r="L2084" s="30" t="n"/>
    </row>
    <row r="2085">
      <c r="L2085" s="30" t="n"/>
    </row>
    <row r="2086">
      <c r="L2086" s="30" t="n"/>
    </row>
    <row r="2087">
      <c r="L2087" s="30" t="n"/>
    </row>
    <row r="2088">
      <c r="L2088" s="30" t="n"/>
    </row>
    <row r="2089">
      <c r="L2089" s="30" t="n"/>
    </row>
    <row r="2090">
      <c r="L2090" s="30" t="n"/>
    </row>
    <row r="2091">
      <c r="L2091" s="30" t="n"/>
    </row>
    <row r="2092">
      <c r="L2092" s="30" t="n"/>
    </row>
    <row r="2093">
      <c r="L2093" s="30" t="n"/>
    </row>
    <row r="2094">
      <c r="L2094" s="30" t="n"/>
    </row>
    <row r="2095">
      <c r="L2095" s="30" t="n"/>
    </row>
    <row r="2096">
      <c r="L2096" s="30" t="n"/>
    </row>
    <row r="2097">
      <c r="L2097" s="30" t="n"/>
    </row>
    <row r="2098">
      <c r="L2098" s="30" t="n"/>
    </row>
    <row r="2099">
      <c r="L2099" s="30" t="n"/>
    </row>
    <row r="2100">
      <c r="L2100" s="30" t="n"/>
    </row>
    <row r="2101">
      <c r="L2101" s="30" t="n"/>
    </row>
    <row r="2102">
      <c r="L2102" s="30" t="n"/>
    </row>
    <row r="2103">
      <c r="L2103" s="30" t="n"/>
    </row>
    <row r="2104">
      <c r="L2104" s="30" t="n"/>
    </row>
    <row r="2105">
      <c r="L2105" s="30" t="n"/>
    </row>
    <row r="2106">
      <c r="L2106" s="30" t="n"/>
    </row>
    <row r="2107">
      <c r="L2107" s="30" t="n"/>
    </row>
    <row r="2108">
      <c r="L2108" s="30" t="n"/>
    </row>
    <row r="2109">
      <c r="L2109" s="30" t="n"/>
    </row>
    <row r="2110">
      <c r="L2110" s="30" t="n"/>
    </row>
    <row r="2111">
      <c r="L2111" s="30" t="n"/>
    </row>
    <row r="2112">
      <c r="L2112" s="30" t="n"/>
    </row>
    <row r="2113">
      <c r="L2113" s="30" t="n"/>
    </row>
    <row r="2114">
      <c r="L2114" s="30" t="n"/>
    </row>
    <row r="2115">
      <c r="L2115" s="30" t="n"/>
    </row>
    <row r="2116">
      <c r="L2116" s="30" t="n"/>
    </row>
    <row r="2117">
      <c r="L2117" s="30" t="n"/>
    </row>
    <row r="2118">
      <c r="L2118" s="30" t="n"/>
    </row>
    <row r="2119">
      <c r="L2119" s="30" t="n"/>
    </row>
    <row r="2120">
      <c r="L2120" s="30" t="n"/>
    </row>
    <row r="2121">
      <c r="L2121" s="30" t="n"/>
    </row>
    <row r="2122">
      <c r="L2122" s="30" t="n"/>
    </row>
    <row r="2123">
      <c r="L2123" s="30" t="n"/>
    </row>
    <row r="2124">
      <c r="L2124" s="30" t="n"/>
    </row>
    <row r="2125">
      <c r="L2125" s="30" t="n"/>
    </row>
    <row r="2126">
      <c r="L2126" s="30" t="n"/>
    </row>
    <row r="2127">
      <c r="L2127" s="30" t="n"/>
    </row>
    <row r="2128">
      <c r="L2128" s="30" t="n"/>
    </row>
    <row r="2129">
      <c r="L2129" s="30" t="n"/>
    </row>
    <row r="2130">
      <c r="L2130" s="30" t="n"/>
    </row>
    <row r="2131">
      <c r="L2131" s="30" t="n"/>
    </row>
    <row r="2132">
      <c r="L2132" s="30" t="n"/>
    </row>
    <row r="2133">
      <c r="L2133" s="30" t="n"/>
    </row>
    <row r="2134">
      <c r="L2134" s="30" t="n"/>
    </row>
    <row r="2135">
      <c r="L2135" s="30" t="n"/>
    </row>
    <row r="2136">
      <c r="L2136" s="30" t="n"/>
    </row>
    <row r="2137">
      <c r="L2137" s="30" t="n"/>
    </row>
    <row r="2138">
      <c r="L2138" s="30" t="n"/>
    </row>
    <row r="2139">
      <c r="L2139" s="30" t="n"/>
    </row>
    <row r="2140">
      <c r="L2140" s="30" t="n"/>
    </row>
    <row r="2141">
      <c r="L2141" s="30" t="n"/>
    </row>
    <row r="2142">
      <c r="L2142" s="30" t="n"/>
    </row>
    <row r="2143">
      <c r="L2143" s="30" t="n"/>
    </row>
    <row r="2144">
      <c r="L2144" s="30" t="n"/>
    </row>
    <row r="2145">
      <c r="L2145" s="30" t="n"/>
    </row>
    <row r="2146">
      <c r="L2146" s="30" t="n"/>
    </row>
    <row r="2147">
      <c r="L2147" s="30" t="n"/>
    </row>
    <row r="2148">
      <c r="L2148" s="30" t="n"/>
    </row>
    <row r="2149">
      <c r="L2149" s="30" t="n"/>
    </row>
    <row r="2150">
      <c r="L2150" s="30" t="n"/>
    </row>
    <row r="2151">
      <c r="L2151" s="30" t="n"/>
    </row>
    <row r="2152">
      <c r="L2152" s="30" t="n"/>
    </row>
    <row r="2153">
      <c r="L2153" s="30" t="n"/>
    </row>
    <row r="2154">
      <c r="L2154" s="30" t="n"/>
    </row>
    <row r="2155">
      <c r="L2155" s="30" t="n"/>
    </row>
    <row r="2156">
      <c r="L2156" s="30" t="n"/>
    </row>
    <row r="2157">
      <c r="L2157" s="30" t="n"/>
    </row>
    <row r="2158">
      <c r="L2158" s="30" t="n"/>
    </row>
    <row r="2159">
      <c r="L2159" s="30" t="n"/>
    </row>
    <row r="2160">
      <c r="L2160" s="30" t="n"/>
    </row>
    <row r="2161">
      <c r="L2161" s="30" t="n"/>
    </row>
    <row r="2162">
      <c r="L2162" s="30" t="n"/>
    </row>
    <row r="2163">
      <c r="L2163" s="30" t="n"/>
    </row>
    <row r="2164">
      <c r="L2164" s="30" t="n"/>
    </row>
    <row r="2165">
      <c r="L2165" s="30" t="n"/>
    </row>
    <row r="2166">
      <c r="L2166" s="30" t="n"/>
    </row>
    <row r="2167">
      <c r="L2167" s="30" t="n"/>
    </row>
    <row r="2168">
      <c r="L2168" s="30" t="n"/>
    </row>
    <row r="2169">
      <c r="L2169" s="30" t="n"/>
    </row>
    <row r="2170">
      <c r="L2170" s="30" t="n"/>
    </row>
    <row r="2171">
      <c r="L2171" s="30" t="n"/>
    </row>
    <row r="2172">
      <c r="L2172" s="30" t="n"/>
    </row>
    <row r="2173">
      <c r="L2173" s="30" t="n"/>
    </row>
    <row r="2174">
      <c r="L2174" s="30" t="n"/>
    </row>
    <row r="2175">
      <c r="L2175" s="30" t="n"/>
    </row>
    <row r="2176">
      <c r="L2176" s="30" t="n"/>
    </row>
    <row r="2177">
      <c r="L2177" s="30" t="n"/>
    </row>
    <row r="2178">
      <c r="L2178" s="30" t="n"/>
    </row>
    <row r="2179">
      <c r="L2179" s="30" t="n"/>
    </row>
    <row r="2180">
      <c r="L2180" s="30" t="n"/>
    </row>
    <row r="2181">
      <c r="L2181" s="30" t="n"/>
    </row>
    <row r="2182">
      <c r="L2182" s="30" t="n"/>
    </row>
    <row r="2183">
      <c r="L2183" s="30" t="n"/>
    </row>
    <row r="2184">
      <c r="L2184" s="30" t="n"/>
    </row>
    <row r="2185">
      <c r="L2185" s="30" t="n"/>
    </row>
    <row r="2186">
      <c r="L2186" s="30" t="n"/>
    </row>
    <row r="2187">
      <c r="L2187" s="30" t="n"/>
    </row>
    <row r="2188">
      <c r="L2188" s="30" t="n"/>
    </row>
    <row r="2189">
      <c r="L2189" s="30" t="n"/>
    </row>
    <row r="2190">
      <c r="L2190" s="30" t="n"/>
    </row>
    <row r="2191">
      <c r="L2191" s="30" t="n"/>
    </row>
    <row r="2192">
      <c r="L2192" s="30" t="n"/>
    </row>
    <row r="2193">
      <c r="L2193" s="30" t="n"/>
    </row>
    <row r="2194">
      <c r="L2194" s="30" t="n"/>
    </row>
    <row r="2195">
      <c r="L2195" s="30" t="n"/>
    </row>
    <row r="2196">
      <c r="L2196" s="30" t="n"/>
    </row>
    <row r="2197">
      <c r="L2197" s="30" t="n"/>
    </row>
    <row r="2198">
      <c r="L2198" s="30" t="n"/>
    </row>
    <row r="2199">
      <c r="L2199" s="30" t="n"/>
    </row>
    <row r="2200">
      <c r="L2200" s="30" t="n"/>
    </row>
    <row r="2201">
      <c r="L2201" s="30" t="n"/>
    </row>
    <row r="2202">
      <c r="L2202" s="30" t="n"/>
    </row>
    <row r="2203">
      <c r="L2203" s="30" t="n"/>
    </row>
    <row r="2204">
      <c r="L2204" s="30" t="n"/>
    </row>
    <row r="2205">
      <c r="L2205" s="30" t="n"/>
    </row>
    <row r="2206">
      <c r="L2206" s="30" t="n"/>
    </row>
    <row r="2207">
      <c r="L2207" s="30" t="n"/>
    </row>
    <row r="2208">
      <c r="L2208" s="30" t="n"/>
    </row>
    <row r="2209">
      <c r="L2209" s="30" t="n"/>
    </row>
    <row r="2210">
      <c r="L2210" s="30" t="n"/>
    </row>
    <row r="2211">
      <c r="L2211" s="30" t="n"/>
    </row>
    <row r="2212">
      <c r="L2212" s="30" t="n"/>
    </row>
    <row r="2213">
      <c r="L2213" s="30" t="n"/>
    </row>
    <row r="2214">
      <c r="L2214" s="30" t="n"/>
    </row>
    <row r="2215">
      <c r="L2215" s="30" t="n"/>
    </row>
    <row r="2216">
      <c r="L2216" s="30" t="n"/>
    </row>
    <row r="2217">
      <c r="L2217" s="30" t="n"/>
    </row>
    <row r="2218">
      <c r="L2218" s="30" t="n"/>
    </row>
    <row r="2219">
      <c r="L2219" s="30" t="n"/>
    </row>
    <row r="2220">
      <c r="L2220" s="30" t="n"/>
    </row>
    <row r="2221">
      <c r="L2221" s="30" t="n"/>
    </row>
    <row r="2222">
      <c r="L2222" s="30" t="n"/>
    </row>
    <row r="2223">
      <c r="L2223" s="30" t="n"/>
    </row>
    <row r="2224">
      <c r="L2224" s="30" t="n"/>
    </row>
    <row r="2225">
      <c r="L2225" s="30" t="n"/>
    </row>
    <row r="2226">
      <c r="L2226" s="30" t="n"/>
    </row>
    <row r="2227">
      <c r="L2227" s="30" t="n"/>
    </row>
    <row r="2228">
      <c r="L2228" s="30" t="n"/>
    </row>
    <row r="2229">
      <c r="L2229" s="30" t="n"/>
    </row>
    <row r="2230">
      <c r="L2230" s="30" t="n"/>
    </row>
    <row r="2231">
      <c r="L2231" s="30" t="n"/>
    </row>
    <row r="2232">
      <c r="L2232" s="30" t="n"/>
    </row>
    <row r="2233">
      <c r="L2233" s="30" t="n"/>
    </row>
    <row r="2234">
      <c r="L2234" s="30" t="n"/>
    </row>
    <row r="2235">
      <c r="L2235" s="30" t="n"/>
    </row>
    <row r="2236">
      <c r="L2236" s="30" t="n"/>
    </row>
    <row r="2237">
      <c r="L2237" s="30" t="n"/>
    </row>
    <row r="2238">
      <c r="L2238" s="30" t="n"/>
    </row>
    <row r="2239">
      <c r="L2239" s="30" t="n"/>
    </row>
    <row r="2240">
      <c r="L2240" s="30" t="n"/>
    </row>
    <row r="2241">
      <c r="L2241" s="30" t="n"/>
    </row>
    <row r="2242">
      <c r="L2242" s="30" t="n"/>
    </row>
    <row r="2243">
      <c r="L2243" s="30" t="n"/>
    </row>
    <row r="2244">
      <c r="L2244" s="30" t="n"/>
    </row>
    <row r="2245">
      <c r="L2245" s="30" t="n"/>
    </row>
    <row r="2246">
      <c r="L2246" s="30" t="n"/>
    </row>
    <row r="2247">
      <c r="L2247" s="30" t="n"/>
    </row>
    <row r="2248">
      <c r="L2248" s="30" t="n"/>
    </row>
    <row r="2249">
      <c r="L2249" s="30" t="n"/>
    </row>
    <row r="2250">
      <c r="L2250" s="30" t="n"/>
    </row>
    <row r="2251">
      <c r="L2251" s="30" t="n"/>
    </row>
    <row r="2252">
      <c r="L2252" s="30" t="n"/>
    </row>
    <row r="2253">
      <c r="L2253" s="30" t="n"/>
    </row>
    <row r="2254">
      <c r="L2254" s="30" t="n"/>
    </row>
    <row r="2255">
      <c r="L2255" s="30" t="n"/>
    </row>
    <row r="2256">
      <c r="L2256" s="30" t="n"/>
    </row>
    <row r="2257">
      <c r="L2257" s="30" t="n"/>
    </row>
    <row r="2258">
      <c r="L2258" s="30" t="n"/>
    </row>
    <row r="2259">
      <c r="L2259" s="30" t="n"/>
    </row>
    <row r="2260">
      <c r="L2260" s="30" t="n"/>
    </row>
    <row r="2261">
      <c r="L2261" s="30" t="n"/>
    </row>
    <row r="2262">
      <c r="L2262" s="30" t="n"/>
    </row>
    <row r="2263">
      <c r="L2263" s="30" t="n"/>
    </row>
    <row r="2264">
      <c r="L2264" s="30" t="n"/>
    </row>
    <row r="2265">
      <c r="L2265" s="30" t="n"/>
    </row>
    <row r="2266">
      <c r="L2266" s="30" t="n"/>
    </row>
    <row r="2267">
      <c r="L2267" s="30" t="n"/>
    </row>
    <row r="2268">
      <c r="L2268" s="30" t="n"/>
    </row>
    <row r="2269">
      <c r="L2269" s="30" t="n"/>
    </row>
    <row r="2270">
      <c r="L2270" s="30" t="n"/>
    </row>
    <row r="2271">
      <c r="L2271" s="30" t="n"/>
    </row>
    <row r="2272">
      <c r="L2272" s="30" t="n"/>
    </row>
    <row r="2273">
      <c r="L2273" s="30" t="n"/>
    </row>
    <row r="2274">
      <c r="L2274" s="30" t="n"/>
    </row>
    <row r="2275">
      <c r="L2275" s="30" t="n"/>
    </row>
    <row r="2276">
      <c r="L2276" s="30" t="n"/>
    </row>
    <row r="2277">
      <c r="L2277" s="30" t="n"/>
    </row>
    <row r="2278">
      <c r="L2278" s="30" t="n"/>
    </row>
    <row r="2279">
      <c r="L2279" s="30" t="n"/>
    </row>
    <row r="2280">
      <c r="L2280" s="30" t="n"/>
    </row>
    <row r="2281">
      <c r="L2281" s="30" t="n"/>
    </row>
    <row r="2282">
      <c r="L2282" s="30" t="n"/>
    </row>
    <row r="2283">
      <c r="L2283" s="30" t="n"/>
    </row>
    <row r="2284">
      <c r="L2284" s="30" t="n"/>
    </row>
    <row r="2285">
      <c r="L2285" s="30" t="n"/>
    </row>
    <row r="2286">
      <c r="L2286" s="30" t="n"/>
    </row>
    <row r="2287">
      <c r="L2287" s="30" t="n"/>
    </row>
    <row r="2288">
      <c r="L2288" s="30" t="n"/>
    </row>
    <row r="2289">
      <c r="L2289" s="30" t="n"/>
    </row>
    <row r="2290">
      <c r="L2290" s="30" t="n"/>
    </row>
    <row r="2291">
      <c r="L2291" s="30" t="n"/>
    </row>
    <row r="2292">
      <c r="L2292" s="30" t="n"/>
    </row>
    <row r="2293">
      <c r="L2293" s="30" t="n"/>
    </row>
    <row r="2294">
      <c r="L2294" s="30" t="n"/>
    </row>
    <row r="2295">
      <c r="L2295" s="30" t="n"/>
    </row>
    <row r="2296">
      <c r="L2296" s="30" t="n"/>
    </row>
    <row r="2297">
      <c r="L2297" s="30" t="n"/>
    </row>
    <row r="2298">
      <c r="L2298" s="30" t="n"/>
    </row>
    <row r="2299">
      <c r="L2299" s="30" t="n"/>
    </row>
    <row r="2300">
      <c r="L2300" s="30" t="n"/>
    </row>
    <row r="2301">
      <c r="L2301" s="30" t="n"/>
    </row>
    <row r="2302">
      <c r="L2302" s="30" t="n"/>
    </row>
    <row r="2303">
      <c r="L2303" s="30" t="n"/>
    </row>
    <row r="2304">
      <c r="L2304" s="30" t="n"/>
    </row>
    <row r="2305">
      <c r="L2305" s="30" t="n"/>
    </row>
    <row r="2306">
      <c r="L2306" s="30" t="n"/>
    </row>
    <row r="2307">
      <c r="L2307" s="30" t="n"/>
    </row>
    <row r="2308">
      <c r="L2308" s="30" t="n"/>
    </row>
    <row r="2309">
      <c r="L2309" s="30" t="n"/>
    </row>
    <row r="2310">
      <c r="L2310" s="30" t="n"/>
    </row>
    <row r="2311">
      <c r="L2311" s="30" t="n"/>
    </row>
    <row r="2312">
      <c r="L2312" s="30" t="n"/>
    </row>
    <row r="2313">
      <c r="L2313" s="30" t="n"/>
    </row>
    <row r="2314">
      <c r="L2314" s="30" t="n"/>
    </row>
    <row r="2315">
      <c r="L2315" s="30" t="n"/>
    </row>
    <row r="2316">
      <c r="L2316" s="30" t="n"/>
    </row>
    <row r="2317">
      <c r="L2317" s="30" t="n"/>
    </row>
    <row r="2318">
      <c r="L2318" s="30" t="n"/>
    </row>
    <row r="2319">
      <c r="L2319" s="30" t="n"/>
    </row>
    <row r="2320">
      <c r="L2320" s="30" t="n"/>
    </row>
    <row r="2321">
      <c r="L2321" s="30" t="n"/>
    </row>
    <row r="2322">
      <c r="L2322" s="30" t="n"/>
    </row>
    <row r="2323">
      <c r="L2323" s="30" t="n"/>
    </row>
    <row r="2324">
      <c r="L2324" s="30" t="n"/>
    </row>
    <row r="2325">
      <c r="L2325" s="30" t="n"/>
    </row>
    <row r="2326">
      <c r="L2326" s="30" t="n"/>
    </row>
    <row r="2327">
      <c r="L2327" s="30" t="n"/>
    </row>
    <row r="2328">
      <c r="L2328" s="30" t="n"/>
    </row>
    <row r="2329">
      <c r="L2329" s="30" t="n"/>
    </row>
    <row r="2330">
      <c r="L2330" s="30" t="n"/>
    </row>
    <row r="2331">
      <c r="L2331" s="30" t="n"/>
    </row>
    <row r="2332">
      <c r="L2332" s="30" t="n"/>
    </row>
    <row r="2333">
      <c r="L2333" s="30" t="n"/>
    </row>
    <row r="2334">
      <c r="L2334" s="30" t="n"/>
    </row>
    <row r="2335">
      <c r="L2335" s="30" t="n"/>
    </row>
    <row r="2336">
      <c r="L2336" s="30" t="n"/>
    </row>
    <row r="2337">
      <c r="L2337" s="30" t="n"/>
    </row>
    <row r="2338">
      <c r="L2338" s="30" t="n"/>
    </row>
    <row r="2339">
      <c r="L2339" s="30" t="n"/>
    </row>
    <row r="2340">
      <c r="L2340" s="30" t="n"/>
    </row>
    <row r="2341">
      <c r="L2341" s="30" t="n"/>
    </row>
    <row r="2342">
      <c r="L2342" s="30" t="n"/>
    </row>
    <row r="2343">
      <c r="L2343" s="30" t="n"/>
    </row>
    <row r="2344">
      <c r="L2344" s="30" t="n"/>
    </row>
    <row r="2345">
      <c r="L2345" s="30" t="n"/>
    </row>
    <row r="2346">
      <c r="L2346" s="30" t="n"/>
    </row>
    <row r="2347">
      <c r="L2347" s="30" t="n"/>
    </row>
    <row r="2348">
      <c r="L2348" s="30" t="n"/>
    </row>
    <row r="2349">
      <c r="L2349" s="30" t="n"/>
    </row>
    <row r="2350">
      <c r="L2350" s="30" t="n"/>
    </row>
    <row r="2351">
      <c r="L2351" s="30" t="n"/>
    </row>
    <row r="2352">
      <c r="L2352" s="30" t="n"/>
    </row>
    <row r="2353">
      <c r="L2353" s="30" t="n"/>
    </row>
    <row r="2354">
      <c r="L2354" s="30" t="n"/>
    </row>
    <row r="2355">
      <c r="L2355" s="30" t="n"/>
    </row>
    <row r="2356">
      <c r="L2356" s="30" t="n"/>
    </row>
    <row r="2357">
      <c r="L2357" s="30" t="n"/>
    </row>
    <row r="2358">
      <c r="L2358" s="30" t="n"/>
    </row>
    <row r="2359">
      <c r="L2359" s="30" t="n"/>
    </row>
    <row r="2360">
      <c r="L2360" s="30" t="n"/>
    </row>
    <row r="2361">
      <c r="L2361" s="30" t="n"/>
    </row>
    <row r="2362">
      <c r="L2362" s="30" t="n"/>
    </row>
    <row r="2363">
      <c r="L2363" s="30" t="n"/>
    </row>
    <row r="2364">
      <c r="L2364" s="30" t="n"/>
    </row>
    <row r="2365">
      <c r="L2365" s="30" t="n"/>
    </row>
    <row r="2366">
      <c r="L2366" s="30" t="n"/>
    </row>
    <row r="2367">
      <c r="L2367" s="30" t="n"/>
    </row>
    <row r="2368">
      <c r="L2368" s="30" t="n"/>
    </row>
    <row r="2369">
      <c r="L2369" s="30" t="n"/>
    </row>
    <row r="2370">
      <c r="L2370" s="30" t="n"/>
    </row>
    <row r="2371">
      <c r="L2371" s="30" t="n"/>
    </row>
    <row r="2372">
      <c r="L2372" s="30" t="n"/>
    </row>
    <row r="2373">
      <c r="L2373" s="30" t="n"/>
    </row>
    <row r="2374">
      <c r="L2374" s="30" t="n"/>
    </row>
    <row r="2375">
      <c r="L2375" s="30" t="n"/>
    </row>
    <row r="2376">
      <c r="L2376" s="30" t="n"/>
    </row>
    <row r="2377">
      <c r="L2377" s="30" t="n"/>
    </row>
    <row r="2378">
      <c r="L2378" s="30" t="n"/>
    </row>
    <row r="2379">
      <c r="L2379" s="30" t="n"/>
    </row>
    <row r="2380">
      <c r="L2380" s="30" t="n"/>
    </row>
    <row r="2381">
      <c r="L2381" s="30" t="n"/>
    </row>
    <row r="2382">
      <c r="L2382" s="30" t="n"/>
    </row>
    <row r="2383">
      <c r="L2383" s="30" t="n"/>
    </row>
    <row r="2384">
      <c r="L2384" s="30" t="n"/>
    </row>
    <row r="2385">
      <c r="L2385" s="30" t="n"/>
    </row>
    <row r="2386">
      <c r="L2386" s="30" t="n"/>
    </row>
    <row r="2387">
      <c r="L2387" s="30" t="n"/>
    </row>
    <row r="2388">
      <c r="L2388" s="30" t="n"/>
    </row>
    <row r="2389">
      <c r="L2389" s="30" t="n"/>
    </row>
    <row r="2390">
      <c r="L2390" s="30" t="n"/>
    </row>
    <row r="2391">
      <c r="L2391" s="30" t="n"/>
    </row>
    <row r="2392">
      <c r="L2392" s="30" t="n"/>
    </row>
    <row r="2393">
      <c r="L2393" s="30" t="n"/>
    </row>
    <row r="2394">
      <c r="L2394" s="30" t="n"/>
    </row>
    <row r="2395">
      <c r="L2395" s="30" t="n"/>
    </row>
    <row r="2396">
      <c r="L2396" s="30" t="n"/>
    </row>
    <row r="2397">
      <c r="L2397" s="30" t="n"/>
    </row>
    <row r="2398">
      <c r="L2398" s="30" t="n"/>
    </row>
    <row r="2399">
      <c r="L2399" s="30" t="n"/>
    </row>
    <row r="2400">
      <c r="L2400" s="30" t="n"/>
    </row>
    <row r="2401">
      <c r="L2401" s="30" t="n"/>
    </row>
    <row r="2402">
      <c r="L2402" s="30" t="n"/>
    </row>
    <row r="2403">
      <c r="L2403" s="30" t="n"/>
    </row>
    <row r="2404">
      <c r="L2404" s="30" t="n"/>
    </row>
    <row r="2405">
      <c r="L2405" s="30" t="n"/>
    </row>
    <row r="2406">
      <c r="L2406" s="30" t="n"/>
    </row>
    <row r="2407">
      <c r="L2407" s="30" t="n"/>
    </row>
    <row r="2408">
      <c r="L2408" s="30" t="n"/>
    </row>
    <row r="2409">
      <c r="L2409" s="30" t="n"/>
    </row>
    <row r="2410">
      <c r="L2410" s="30" t="n"/>
    </row>
    <row r="2411">
      <c r="L2411" s="30" t="n"/>
    </row>
    <row r="2412">
      <c r="L2412" s="30" t="n"/>
    </row>
    <row r="2413">
      <c r="L2413" s="30" t="n"/>
    </row>
    <row r="2414">
      <c r="L2414" s="30" t="n"/>
    </row>
    <row r="2415">
      <c r="L2415" s="30" t="n"/>
    </row>
    <row r="2416">
      <c r="L2416" s="30" t="n"/>
    </row>
    <row r="2417">
      <c r="L2417" s="30" t="n"/>
    </row>
    <row r="2418">
      <c r="L2418" s="30" t="n"/>
    </row>
    <row r="2419">
      <c r="L2419" s="30" t="n"/>
    </row>
    <row r="2420">
      <c r="L2420" s="30" t="n"/>
    </row>
    <row r="2421">
      <c r="L2421" s="30" t="n"/>
    </row>
    <row r="2422">
      <c r="L2422" s="30" t="n"/>
    </row>
    <row r="2423">
      <c r="L2423" s="30" t="n"/>
    </row>
    <row r="2424">
      <c r="L2424" s="30" t="n"/>
    </row>
    <row r="2425">
      <c r="L2425" s="30" t="n"/>
    </row>
    <row r="2426">
      <c r="L2426" s="30" t="n"/>
    </row>
    <row r="2427">
      <c r="L2427" s="30" t="n"/>
    </row>
    <row r="2428">
      <c r="L2428" s="30" t="n"/>
    </row>
    <row r="2429">
      <c r="L2429" s="30" t="n"/>
    </row>
    <row r="2430">
      <c r="L2430" s="30" t="n"/>
    </row>
    <row r="2431">
      <c r="L2431" s="30" t="n"/>
    </row>
    <row r="2432">
      <c r="L2432" s="30" t="n"/>
    </row>
    <row r="2433">
      <c r="L2433" s="30" t="n"/>
    </row>
    <row r="2434">
      <c r="L2434" s="30" t="n"/>
    </row>
    <row r="2435">
      <c r="L2435" s="30" t="n"/>
    </row>
    <row r="2436">
      <c r="L2436" s="30" t="n"/>
    </row>
    <row r="2437">
      <c r="L2437" s="30" t="n"/>
    </row>
    <row r="2438">
      <c r="L2438" s="30" t="n"/>
    </row>
    <row r="2439">
      <c r="L2439" s="30" t="n"/>
    </row>
    <row r="2440">
      <c r="L2440" s="30" t="n"/>
    </row>
    <row r="2441">
      <c r="L2441" s="30" t="n"/>
    </row>
    <row r="2442">
      <c r="L2442" s="30" t="n"/>
    </row>
    <row r="2443">
      <c r="L2443" s="30" t="n"/>
    </row>
    <row r="2444">
      <c r="L2444" s="30" t="n"/>
    </row>
    <row r="2445">
      <c r="L2445" s="30" t="n"/>
    </row>
    <row r="2446">
      <c r="L2446" s="30" t="n"/>
    </row>
    <row r="2447">
      <c r="L2447" s="30" t="n"/>
    </row>
    <row r="2448">
      <c r="L2448" s="30" t="n"/>
    </row>
    <row r="2449">
      <c r="L2449" s="30" t="n"/>
    </row>
    <row r="2450">
      <c r="L2450" s="30" t="n"/>
    </row>
    <row r="2451">
      <c r="L2451" s="30" t="n"/>
    </row>
    <row r="2452">
      <c r="L2452" s="30" t="n"/>
    </row>
    <row r="2453">
      <c r="L2453" s="30" t="n"/>
    </row>
    <row r="2454">
      <c r="L2454" s="30" t="n"/>
    </row>
    <row r="2455">
      <c r="L2455" s="30" t="n"/>
    </row>
    <row r="2456">
      <c r="L2456" s="30" t="n"/>
    </row>
    <row r="2457">
      <c r="L2457" s="30" t="n"/>
    </row>
    <row r="2458">
      <c r="L2458" s="30" t="n"/>
    </row>
    <row r="2459">
      <c r="L2459" s="30" t="n"/>
    </row>
    <row r="2460">
      <c r="L2460" s="30" t="n"/>
    </row>
    <row r="2461">
      <c r="L2461" s="30" t="n"/>
    </row>
    <row r="2462">
      <c r="L2462" s="30" t="n"/>
    </row>
    <row r="2463">
      <c r="L2463" s="30" t="n"/>
    </row>
    <row r="2464">
      <c r="L2464" s="30" t="n"/>
    </row>
    <row r="2465">
      <c r="L2465" s="30" t="n"/>
    </row>
    <row r="2466">
      <c r="L2466" s="30" t="n"/>
    </row>
    <row r="2467">
      <c r="L2467" s="30" t="n"/>
    </row>
    <row r="2468">
      <c r="L2468" s="30" t="n"/>
    </row>
    <row r="2469">
      <c r="L2469" s="30" t="n"/>
    </row>
    <row r="2470">
      <c r="L2470" s="30" t="n"/>
    </row>
    <row r="2471">
      <c r="L2471" s="30" t="n"/>
    </row>
    <row r="2472">
      <c r="L2472" s="30" t="n"/>
    </row>
    <row r="2473">
      <c r="L2473" s="30" t="n"/>
    </row>
    <row r="2474">
      <c r="L2474" s="30" t="n"/>
    </row>
    <row r="2475">
      <c r="L2475" s="30" t="n"/>
    </row>
    <row r="2476">
      <c r="L2476" s="30" t="n"/>
    </row>
    <row r="2477">
      <c r="L2477" s="30" t="n"/>
    </row>
    <row r="2478">
      <c r="L2478" s="30" t="n"/>
    </row>
    <row r="2479">
      <c r="L2479" s="30" t="n"/>
    </row>
    <row r="2480">
      <c r="L2480" s="30" t="n"/>
    </row>
    <row r="2481">
      <c r="L2481" s="30" t="n"/>
    </row>
    <row r="2482">
      <c r="L2482" s="30" t="n"/>
    </row>
    <row r="2483">
      <c r="L2483" s="30" t="n"/>
    </row>
    <row r="2484">
      <c r="L2484" s="30" t="n"/>
    </row>
    <row r="2485">
      <c r="L2485" s="30" t="n"/>
    </row>
    <row r="2486">
      <c r="L2486" s="30" t="n"/>
    </row>
    <row r="2487">
      <c r="L2487" s="30" t="n"/>
    </row>
    <row r="2488">
      <c r="L2488" s="30" t="n"/>
    </row>
    <row r="2489">
      <c r="L2489" s="30" t="n"/>
    </row>
    <row r="2490">
      <c r="L2490" s="30" t="n"/>
    </row>
    <row r="2491">
      <c r="L2491" s="30" t="n"/>
    </row>
    <row r="2492">
      <c r="L2492" s="30" t="n"/>
    </row>
    <row r="2493">
      <c r="L2493" s="30" t="n"/>
    </row>
    <row r="2494">
      <c r="L2494" s="30" t="n"/>
    </row>
    <row r="2495">
      <c r="L2495" s="30" t="n"/>
    </row>
    <row r="2496">
      <c r="L2496" s="30" t="n"/>
    </row>
    <row r="2497">
      <c r="L2497" s="30" t="n"/>
    </row>
    <row r="2498">
      <c r="L2498" s="30" t="n"/>
    </row>
    <row r="2499">
      <c r="L2499" s="30" t="n"/>
    </row>
    <row r="2500">
      <c r="L2500" s="30" t="n"/>
    </row>
    <row r="2501">
      <c r="L2501" s="30" t="n"/>
    </row>
    <row r="2502">
      <c r="L2502" s="30" t="n"/>
    </row>
    <row r="2503">
      <c r="L2503" s="30" t="n"/>
    </row>
    <row r="2504">
      <c r="L2504" s="30" t="n"/>
    </row>
    <row r="2505">
      <c r="L2505" s="30" t="n"/>
    </row>
    <row r="2506">
      <c r="L2506" s="30" t="n"/>
    </row>
    <row r="2507">
      <c r="L2507" s="30" t="n"/>
    </row>
    <row r="2508">
      <c r="L2508" s="30" t="n"/>
    </row>
    <row r="2509">
      <c r="L2509" s="30" t="n"/>
    </row>
    <row r="2510">
      <c r="L2510" s="30" t="n"/>
    </row>
    <row r="2511">
      <c r="L2511" s="30" t="n"/>
    </row>
    <row r="2512">
      <c r="L2512" s="30" t="n"/>
    </row>
    <row r="2513">
      <c r="L2513" s="30" t="n"/>
    </row>
    <row r="2514">
      <c r="L2514" s="30" t="n"/>
    </row>
    <row r="2515">
      <c r="L2515" s="30" t="n"/>
    </row>
    <row r="2516">
      <c r="L2516" s="30" t="n"/>
    </row>
    <row r="2517">
      <c r="L2517" s="30" t="n"/>
    </row>
    <row r="2518">
      <c r="L2518" s="30" t="n"/>
    </row>
    <row r="2519">
      <c r="L2519" s="30" t="n"/>
    </row>
    <row r="2520">
      <c r="L2520" s="30" t="n"/>
    </row>
    <row r="2521">
      <c r="L2521" s="30" t="n"/>
    </row>
    <row r="2522">
      <c r="L2522" s="30" t="n"/>
    </row>
    <row r="2523">
      <c r="L2523" s="30" t="n"/>
    </row>
    <row r="2524">
      <c r="L2524" s="30" t="n"/>
    </row>
    <row r="2525">
      <c r="L2525" s="30" t="n"/>
    </row>
    <row r="2526">
      <c r="L2526" s="30" t="n"/>
    </row>
    <row r="2527">
      <c r="L2527" s="30" t="n"/>
    </row>
    <row r="2528">
      <c r="L2528" s="30" t="n"/>
    </row>
    <row r="2529">
      <c r="L2529" s="30" t="n"/>
    </row>
    <row r="2530">
      <c r="L2530" s="30" t="n"/>
    </row>
    <row r="2531">
      <c r="L2531" s="30" t="n"/>
    </row>
    <row r="2532">
      <c r="L2532" s="30" t="n"/>
    </row>
    <row r="2533">
      <c r="L2533" s="30" t="n"/>
    </row>
    <row r="2534">
      <c r="L2534" s="30" t="n"/>
    </row>
    <row r="2535">
      <c r="L2535" s="30" t="n"/>
    </row>
    <row r="2536">
      <c r="L2536" s="30" t="n"/>
    </row>
    <row r="2537">
      <c r="L2537" s="30" t="n"/>
    </row>
    <row r="2538">
      <c r="L2538" s="30" t="n"/>
    </row>
    <row r="2539">
      <c r="L2539" s="30" t="n"/>
    </row>
    <row r="2540">
      <c r="L2540" s="30" t="n"/>
    </row>
    <row r="2541">
      <c r="L2541" s="30" t="n"/>
    </row>
    <row r="2542">
      <c r="L2542" s="30" t="n"/>
    </row>
    <row r="2543">
      <c r="L2543" s="30" t="n"/>
    </row>
    <row r="2544">
      <c r="L2544" s="30" t="n"/>
    </row>
    <row r="2545">
      <c r="L2545" s="30" t="n"/>
    </row>
    <row r="2546">
      <c r="L2546" s="30" t="n"/>
    </row>
    <row r="2547">
      <c r="L2547" s="30" t="n"/>
    </row>
    <row r="2548">
      <c r="L2548" s="30" t="n"/>
    </row>
    <row r="2549">
      <c r="L2549" s="30" t="n"/>
    </row>
    <row r="2550">
      <c r="L2550" s="30" t="n"/>
    </row>
    <row r="2551">
      <c r="L2551" s="30" t="n"/>
    </row>
    <row r="2552">
      <c r="L2552" s="30" t="n"/>
    </row>
    <row r="2553">
      <c r="L2553" s="30" t="n"/>
    </row>
    <row r="2554">
      <c r="L2554" s="30" t="n"/>
    </row>
    <row r="2555">
      <c r="L2555" s="30" t="n"/>
    </row>
    <row r="2556">
      <c r="L2556" s="30" t="n"/>
    </row>
    <row r="2557">
      <c r="L2557" s="30" t="n"/>
    </row>
    <row r="2558">
      <c r="L2558" s="30" t="n"/>
    </row>
    <row r="2559">
      <c r="L2559" s="30" t="n"/>
    </row>
    <row r="2560">
      <c r="L2560" s="30" t="n"/>
    </row>
    <row r="2561">
      <c r="L2561" s="30" t="n"/>
    </row>
    <row r="2562">
      <c r="L2562" s="30" t="n"/>
    </row>
    <row r="2563">
      <c r="L2563" s="30" t="n"/>
    </row>
    <row r="2564">
      <c r="L2564" s="30" t="n"/>
    </row>
    <row r="2565">
      <c r="L2565" s="30" t="n"/>
    </row>
    <row r="2566">
      <c r="L2566" s="30" t="n"/>
    </row>
    <row r="2567">
      <c r="L2567" s="30" t="n"/>
    </row>
    <row r="2568">
      <c r="L2568" s="30" t="n"/>
    </row>
    <row r="2569">
      <c r="L2569" s="30" t="n"/>
    </row>
    <row r="2570">
      <c r="L2570" s="30" t="n"/>
    </row>
    <row r="2571">
      <c r="L2571" s="30" t="n"/>
    </row>
    <row r="2572">
      <c r="L2572" s="30" t="n"/>
    </row>
    <row r="2573">
      <c r="L2573" s="30" t="n"/>
    </row>
    <row r="2574">
      <c r="L2574" s="30" t="n"/>
    </row>
    <row r="2575">
      <c r="L2575" s="30" t="n"/>
    </row>
    <row r="2576">
      <c r="L2576" s="30" t="n"/>
    </row>
    <row r="2577">
      <c r="L2577" s="30" t="n"/>
    </row>
    <row r="2578">
      <c r="L2578" s="30" t="n"/>
    </row>
    <row r="2579">
      <c r="L2579" s="30" t="n"/>
    </row>
    <row r="2580">
      <c r="L2580" s="30" t="n"/>
    </row>
    <row r="2581">
      <c r="L2581" s="30" t="n"/>
    </row>
    <row r="2582">
      <c r="L2582" s="30" t="n"/>
    </row>
    <row r="2583">
      <c r="L2583" s="30" t="n"/>
    </row>
    <row r="2584">
      <c r="L2584" s="30" t="n"/>
    </row>
    <row r="2585">
      <c r="L2585" s="30" t="n"/>
    </row>
    <row r="2586">
      <c r="L2586" s="30" t="n"/>
    </row>
    <row r="2587">
      <c r="L2587" s="30" t="n"/>
    </row>
    <row r="2588">
      <c r="L2588" s="30" t="n"/>
    </row>
    <row r="2589">
      <c r="L2589" s="30" t="n"/>
    </row>
    <row r="2590">
      <c r="L2590" s="30" t="n"/>
    </row>
    <row r="2591">
      <c r="L2591" s="30" t="n"/>
    </row>
    <row r="2592">
      <c r="L2592" s="30" t="n"/>
    </row>
    <row r="2593">
      <c r="L2593" s="30" t="n"/>
    </row>
    <row r="2594">
      <c r="L2594" s="30" t="n"/>
    </row>
    <row r="2595">
      <c r="L2595" s="30" t="n"/>
    </row>
    <row r="2596">
      <c r="L2596" s="30" t="n"/>
    </row>
    <row r="2597">
      <c r="L2597" s="30" t="n"/>
    </row>
    <row r="2598">
      <c r="L2598" s="30" t="n"/>
    </row>
    <row r="2599">
      <c r="L2599" s="30" t="n"/>
    </row>
    <row r="2600">
      <c r="L2600" s="30" t="n"/>
    </row>
    <row r="2601">
      <c r="L2601" s="30" t="n"/>
    </row>
    <row r="2602">
      <c r="L2602" s="30" t="n"/>
    </row>
    <row r="2603">
      <c r="L2603" s="30" t="n"/>
    </row>
    <row r="2604">
      <c r="L2604" s="30" t="n"/>
    </row>
    <row r="2605">
      <c r="L2605" s="30" t="n"/>
    </row>
    <row r="2606">
      <c r="L2606" s="30" t="n"/>
    </row>
    <row r="2607">
      <c r="L2607" s="30" t="n"/>
    </row>
    <row r="2608">
      <c r="L2608" s="30" t="n"/>
    </row>
    <row r="2609">
      <c r="L2609" s="30" t="n"/>
    </row>
    <row r="2610">
      <c r="L2610" s="30" t="n"/>
    </row>
    <row r="2611">
      <c r="L2611" s="30" t="n"/>
    </row>
    <row r="2612">
      <c r="L2612" s="30" t="n"/>
    </row>
    <row r="2613">
      <c r="L2613" s="30" t="n"/>
    </row>
    <row r="2614">
      <c r="L2614" s="30" t="n"/>
    </row>
    <row r="2615">
      <c r="L2615" s="30" t="n"/>
    </row>
    <row r="2616">
      <c r="L2616" s="30" t="n"/>
    </row>
    <row r="2617">
      <c r="L2617" s="30" t="n"/>
    </row>
    <row r="2618">
      <c r="L2618" s="30" t="n"/>
    </row>
    <row r="2619">
      <c r="L2619" s="30" t="n"/>
    </row>
    <row r="2620">
      <c r="L2620" s="30" t="n"/>
    </row>
    <row r="2621">
      <c r="L2621" s="30" t="n"/>
    </row>
    <row r="2622">
      <c r="L2622" s="30" t="n"/>
    </row>
    <row r="2623">
      <c r="L2623" s="30" t="n"/>
    </row>
    <row r="2624">
      <c r="L2624" s="30" t="n"/>
    </row>
    <row r="2625">
      <c r="L2625" s="30" t="n"/>
    </row>
    <row r="2626">
      <c r="L2626" s="30" t="n"/>
    </row>
    <row r="2627">
      <c r="L2627" s="30" t="n"/>
    </row>
    <row r="2628">
      <c r="L2628" s="30" t="n"/>
    </row>
    <row r="2629">
      <c r="L2629" s="30" t="n"/>
    </row>
    <row r="2630">
      <c r="L2630" s="30" t="n"/>
    </row>
    <row r="2631">
      <c r="L2631" s="30" t="n"/>
    </row>
    <row r="2632">
      <c r="L2632" s="30" t="n"/>
    </row>
    <row r="2633">
      <c r="L2633" s="30" t="n"/>
    </row>
    <row r="2634">
      <c r="L2634" s="30" t="n"/>
    </row>
    <row r="2635">
      <c r="L2635" s="30" t="n"/>
    </row>
    <row r="2636">
      <c r="L2636" s="30" t="n"/>
    </row>
    <row r="2637">
      <c r="L2637" s="30" t="n"/>
    </row>
    <row r="2638">
      <c r="L2638" s="30" t="n"/>
    </row>
    <row r="2639">
      <c r="L2639" s="30" t="n"/>
    </row>
    <row r="2640">
      <c r="L2640" s="30" t="n"/>
    </row>
    <row r="2641">
      <c r="L2641" s="30" t="n"/>
    </row>
    <row r="2642">
      <c r="L2642" s="30" t="n"/>
    </row>
    <row r="2643">
      <c r="L2643" s="30" t="n"/>
    </row>
    <row r="2644">
      <c r="L2644" s="30" t="n"/>
    </row>
    <row r="2645">
      <c r="L2645" s="30" t="n"/>
    </row>
    <row r="2646">
      <c r="L2646" s="30" t="n"/>
    </row>
    <row r="2647">
      <c r="L2647" s="30" t="n"/>
    </row>
    <row r="2648">
      <c r="L2648" s="30" t="n"/>
    </row>
    <row r="2649">
      <c r="L2649" s="30" t="n"/>
    </row>
    <row r="2650">
      <c r="L2650" s="30" t="n"/>
    </row>
    <row r="2651">
      <c r="L2651" s="30" t="n"/>
    </row>
    <row r="2652">
      <c r="L2652" s="30" t="n"/>
    </row>
    <row r="2653">
      <c r="L2653" s="30" t="n"/>
    </row>
    <row r="2654">
      <c r="L2654" s="30" t="n"/>
    </row>
    <row r="2655">
      <c r="L2655" s="30" t="n"/>
    </row>
    <row r="2656">
      <c r="L2656" s="30" t="n"/>
    </row>
    <row r="2657">
      <c r="L2657" s="30" t="n"/>
    </row>
    <row r="2658">
      <c r="L2658" s="30" t="n"/>
    </row>
    <row r="2659">
      <c r="L2659" s="30" t="n"/>
    </row>
    <row r="2660">
      <c r="L2660" s="30" t="n"/>
    </row>
    <row r="2661">
      <c r="L2661" s="30" t="n"/>
    </row>
    <row r="2662">
      <c r="L2662" s="30" t="n"/>
    </row>
    <row r="2663">
      <c r="L2663" s="30" t="n"/>
    </row>
    <row r="2664">
      <c r="L2664" s="30" t="n"/>
    </row>
    <row r="2665">
      <c r="L2665" s="30" t="n"/>
    </row>
    <row r="2666">
      <c r="L2666" s="30" t="n"/>
    </row>
    <row r="2667">
      <c r="L2667" s="30" t="n"/>
    </row>
    <row r="2668">
      <c r="L2668" s="30" t="n"/>
    </row>
    <row r="2669">
      <c r="L2669" s="30" t="n"/>
    </row>
    <row r="2670">
      <c r="L2670" s="30" t="n"/>
    </row>
    <row r="2671">
      <c r="L2671" s="30" t="n"/>
    </row>
    <row r="2672">
      <c r="L2672" s="30" t="n"/>
    </row>
    <row r="2673">
      <c r="L2673" s="30" t="n"/>
    </row>
    <row r="2674">
      <c r="L2674" s="30" t="n"/>
    </row>
    <row r="2675">
      <c r="L2675" s="30" t="n"/>
    </row>
    <row r="2676">
      <c r="L2676" s="30" t="n"/>
    </row>
    <row r="2677">
      <c r="L2677" s="30" t="n"/>
    </row>
    <row r="2678">
      <c r="L2678" s="30" t="n"/>
    </row>
    <row r="2679">
      <c r="L2679" s="30" t="n"/>
    </row>
    <row r="2680">
      <c r="L2680" s="30" t="n"/>
    </row>
    <row r="2681">
      <c r="L2681" s="30" t="n"/>
    </row>
    <row r="2682">
      <c r="L2682" s="30" t="n"/>
    </row>
    <row r="2683">
      <c r="L2683" s="30" t="n"/>
    </row>
    <row r="2684">
      <c r="L2684" s="30" t="n"/>
    </row>
    <row r="2685">
      <c r="L2685" s="30" t="n"/>
    </row>
    <row r="2686">
      <c r="L2686" s="30" t="n"/>
    </row>
    <row r="2687">
      <c r="L2687" s="30" t="n"/>
    </row>
    <row r="2688">
      <c r="L2688" s="30" t="n"/>
    </row>
    <row r="2689">
      <c r="L2689" s="30" t="n"/>
    </row>
    <row r="2690">
      <c r="L2690" s="30" t="n"/>
    </row>
    <row r="2691">
      <c r="L2691" s="30" t="n"/>
    </row>
    <row r="2692">
      <c r="L2692" s="30" t="n"/>
    </row>
    <row r="2693">
      <c r="L2693" s="30" t="n"/>
    </row>
    <row r="2694">
      <c r="L2694" s="30" t="n"/>
    </row>
    <row r="2695">
      <c r="L2695" s="30" t="n"/>
    </row>
    <row r="2696">
      <c r="L2696" s="30" t="n"/>
    </row>
    <row r="2697">
      <c r="L2697" s="30" t="n"/>
    </row>
    <row r="2698">
      <c r="L2698" s="30" t="n"/>
    </row>
    <row r="2699">
      <c r="L2699" s="30" t="n"/>
    </row>
    <row r="2700">
      <c r="L2700" s="30" t="n"/>
    </row>
    <row r="2701">
      <c r="L2701" s="30" t="n"/>
    </row>
    <row r="2702">
      <c r="L2702" s="30" t="n"/>
    </row>
    <row r="2703">
      <c r="L2703" s="30" t="n"/>
    </row>
    <row r="2704">
      <c r="L2704" s="30" t="n"/>
    </row>
    <row r="2705">
      <c r="L2705" s="30" t="n"/>
    </row>
    <row r="2706">
      <c r="L2706" s="30" t="n"/>
    </row>
    <row r="2707">
      <c r="L2707" s="30" t="n"/>
    </row>
    <row r="2708">
      <c r="L2708" s="30" t="n"/>
    </row>
    <row r="2709">
      <c r="L2709" s="30" t="n"/>
    </row>
    <row r="2710">
      <c r="L2710" s="30" t="n"/>
    </row>
    <row r="2711">
      <c r="L2711" s="30" t="n"/>
    </row>
    <row r="2712">
      <c r="L2712" s="30" t="n"/>
    </row>
    <row r="2713">
      <c r="L2713" s="30" t="n"/>
    </row>
    <row r="2714">
      <c r="L2714" s="30" t="n"/>
    </row>
    <row r="2715">
      <c r="L2715" s="30" t="n"/>
    </row>
    <row r="2716">
      <c r="L2716" s="30" t="n"/>
    </row>
    <row r="2717">
      <c r="L2717" s="30" t="n"/>
    </row>
    <row r="2718">
      <c r="L2718" s="30" t="n"/>
    </row>
    <row r="2719">
      <c r="L2719" s="30" t="n"/>
    </row>
    <row r="2720">
      <c r="L2720" s="30" t="n"/>
    </row>
    <row r="2721">
      <c r="L2721" s="30" t="n"/>
    </row>
    <row r="2722">
      <c r="L2722" s="30" t="n"/>
    </row>
    <row r="2723">
      <c r="L2723" s="30" t="n"/>
    </row>
    <row r="2724">
      <c r="L2724" s="30" t="n"/>
    </row>
    <row r="2725">
      <c r="L2725" s="30" t="n"/>
    </row>
    <row r="2726">
      <c r="L2726" s="30" t="n"/>
    </row>
    <row r="2727">
      <c r="L2727" s="30" t="n"/>
    </row>
    <row r="2728">
      <c r="L2728" s="30" t="n"/>
    </row>
    <row r="2729">
      <c r="L2729" s="30" t="n"/>
    </row>
    <row r="2730">
      <c r="L2730" s="30" t="n"/>
    </row>
    <row r="2731">
      <c r="L2731" s="30" t="n"/>
    </row>
    <row r="2732">
      <c r="L2732" s="30" t="n"/>
    </row>
    <row r="2733">
      <c r="L2733" s="30" t="n"/>
    </row>
    <row r="2734">
      <c r="L2734" s="30" t="n"/>
    </row>
    <row r="2735">
      <c r="L2735" s="30" t="n"/>
    </row>
    <row r="2736">
      <c r="L2736" s="30" t="n"/>
    </row>
    <row r="2737">
      <c r="L2737" s="30" t="n"/>
    </row>
    <row r="2738">
      <c r="L2738" s="30" t="n"/>
    </row>
    <row r="2739">
      <c r="L2739" s="30" t="n"/>
    </row>
    <row r="2740">
      <c r="L2740" s="30" t="n"/>
    </row>
    <row r="2741">
      <c r="L2741" s="30" t="n"/>
    </row>
    <row r="2742">
      <c r="L2742" s="30" t="n"/>
    </row>
    <row r="2743">
      <c r="L2743" s="30" t="n"/>
    </row>
    <row r="2744">
      <c r="L2744" s="30" t="n"/>
    </row>
    <row r="2745">
      <c r="L2745" s="30" t="n"/>
    </row>
    <row r="2746">
      <c r="L2746" s="30" t="n"/>
    </row>
    <row r="2747">
      <c r="L2747" s="30" t="n"/>
    </row>
    <row r="2748">
      <c r="L2748" s="30" t="n"/>
    </row>
    <row r="2749">
      <c r="L2749" s="30" t="n"/>
    </row>
    <row r="2750">
      <c r="L2750" s="30" t="n"/>
    </row>
    <row r="2751">
      <c r="L2751" s="30" t="n"/>
    </row>
    <row r="2752">
      <c r="L2752" s="30" t="n"/>
    </row>
    <row r="2753">
      <c r="L2753" s="30" t="n"/>
    </row>
    <row r="2754">
      <c r="L2754" s="30" t="n"/>
    </row>
    <row r="2755">
      <c r="L2755" s="30" t="n"/>
    </row>
    <row r="2756">
      <c r="L2756" s="30" t="n"/>
    </row>
    <row r="2757">
      <c r="L2757" s="30" t="n"/>
    </row>
    <row r="2758">
      <c r="L2758" s="30" t="n"/>
    </row>
    <row r="2759">
      <c r="L2759" s="30" t="n"/>
    </row>
    <row r="2760">
      <c r="L2760" s="30" t="n"/>
    </row>
    <row r="2761">
      <c r="L2761" s="30" t="n"/>
    </row>
    <row r="2762">
      <c r="L2762" s="30" t="n"/>
    </row>
    <row r="2763">
      <c r="L2763" s="30" t="n"/>
    </row>
    <row r="2764">
      <c r="L2764" s="30" t="n"/>
    </row>
    <row r="2765">
      <c r="L2765" s="30" t="n"/>
    </row>
    <row r="2766">
      <c r="L2766" s="30" t="n"/>
    </row>
    <row r="2767">
      <c r="L2767" s="30" t="n"/>
    </row>
    <row r="2768">
      <c r="L2768" s="30" t="n"/>
    </row>
    <row r="2769">
      <c r="L2769" s="30" t="n"/>
    </row>
    <row r="2770">
      <c r="L2770" s="30" t="n"/>
    </row>
    <row r="2771">
      <c r="L2771" s="30" t="n"/>
    </row>
    <row r="2772">
      <c r="L2772" s="30" t="n"/>
    </row>
    <row r="2773">
      <c r="L2773" s="30" t="n"/>
    </row>
    <row r="2774">
      <c r="L2774" s="30" t="n"/>
    </row>
    <row r="2775">
      <c r="L2775" s="30" t="n"/>
    </row>
    <row r="2776">
      <c r="L2776" s="30" t="n"/>
    </row>
    <row r="2777">
      <c r="L2777" s="30" t="n"/>
    </row>
    <row r="2778">
      <c r="L2778" s="30" t="n"/>
    </row>
    <row r="2779">
      <c r="L2779" s="30" t="n"/>
    </row>
    <row r="2780">
      <c r="L2780" s="30" t="n"/>
    </row>
    <row r="2781">
      <c r="L2781" s="30" t="n"/>
    </row>
    <row r="2782">
      <c r="L2782" s="30" t="n"/>
    </row>
    <row r="2783">
      <c r="L2783" s="30" t="n"/>
    </row>
    <row r="2784">
      <c r="L2784" s="30" t="n"/>
    </row>
    <row r="2785">
      <c r="L2785" s="30" t="n"/>
    </row>
    <row r="2786">
      <c r="L2786" s="30" t="n"/>
    </row>
    <row r="2787">
      <c r="L2787" s="30" t="n"/>
    </row>
    <row r="2788">
      <c r="L2788" s="30" t="n"/>
    </row>
    <row r="2789">
      <c r="L2789" s="30" t="n"/>
    </row>
    <row r="2790">
      <c r="L2790" s="30" t="n"/>
    </row>
    <row r="2791">
      <c r="L2791" s="30" t="n"/>
    </row>
    <row r="2792">
      <c r="L2792" s="30" t="n"/>
    </row>
    <row r="2793">
      <c r="L2793" s="30" t="n"/>
    </row>
    <row r="2794">
      <c r="L2794" s="30" t="n"/>
    </row>
    <row r="2795">
      <c r="L2795" s="30" t="n"/>
    </row>
    <row r="2796">
      <c r="L2796" s="30" t="n"/>
    </row>
    <row r="2797">
      <c r="L2797" s="30" t="n"/>
    </row>
    <row r="2798">
      <c r="L2798" s="30" t="n"/>
    </row>
    <row r="2799">
      <c r="L2799" s="30" t="n"/>
    </row>
    <row r="2800">
      <c r="L2800" s="30" t="n"/>
    </row>
    <row r="2801">
      <c r="L2801" s="30" t="n"/>
    </row>
    <row r="2802">
      <c r="L2802" s="30" t="n"/>
    </row>
    <row r="2803">
      <c r="L2803" s="30" t="n"/>
    </row>
    <row r="2804">
      <c r="L2804" s="30" t="n"/>
    </row>
    <row r="2805">
      <c r="L2805" s="30" t="n"/>
    </row>
    <row r="2806">
      <c r="L2806" s="30" t="n"/>
    </row>
    <row r="2807">
      <c r="L2807" s="30" t="n"/>
    </row>
    <row r="2808">
      <c r="L2808" s="30" t="n"/>
    </row>
    <row r="2809">
      <c r="L2809" s="30" t="n"/>
    </row>
    <row r="2810">
      <c r="L2810" s="30" t="n"/>
    </row>
    <row r="2811">
      <c r="L2811" s="30" t="n"/>
    </row>
    <row r="2812">
      <c r="L2812" s="30" t="n"/>
    </row>
    <row r="2813">
      <c r="L2813" s="30" t="n"/>
    </row>
    <row r="2814">
      <c r="L2814" s="30" t="n"/>
    </row>
    <row r="2815">
      <c r="L2815" s="30" t="n"/>
    </row>
    <row r="2816">
      <c r="L2816" s="30" t="n"/>
    </row>
    <row r="2817">
      <c r="L2817" s="30" t="n"/>
    </row>
    <row r="2818">
      <c r="L2818" s="30" t="n"/>
    </row>
    <row r="2819">
      <c r="L2819" s="30" t="n"/>
    </row>
    <row r="2820">
      <c r="L2820" s="30" t="n"/>
    </row>
    <row r="2821">
      <c r="L2821" s="30" t="n"/>
    </row>
    <row r="2822">
      <c r="L2822" s="30" t="n"/>
    </row>
    <row r="2823">
      <c r="L2823" s="30" t="n"/>
    </row>
    <row r="2824">
      <c r="L2824" s="30" t="n"/>
    </row>
    <row r="2825">
      <c r="L2825" s="30" t="n"/>
    </row>
    <row r="2826">
      <c r="L2826" s="30" t="n"/>
    </row>
    <row r="2827">
      <c r="L2827" s="30" t="n"/>
    </row>
    <row r="2828">
      <c r="L2828" s="30" t="n"/>
    </row>
    <row r="2829">
      <c r="L2829" s="30" t="n"/>
    </row>
    <row r="2830">
      <c r="L2830" s="30" t="n"/>
    </row>
    <row r="2831">
      <c r="L2831" s="30" t="n"/>
    </row>
    <row r="2832">
      <c r="L2832" s="30" t="n"/>
    </row>
    <row r="2833">
      <c r="L2833" s="30" t="n"/>
    </row>
    <row r="2834">
      <c r="L2834" s="30" t="n"/>
    </row>
    <row r="2835">
      <c r="L2835" s="30" t="n"/>
    </row>
    <row r="2836">
      <c r="L2836" s="30" t="n"/>
    </row>
    <row r="2837">
      <c r="L2837" s="30" t="n"/>
    </row>
    <row r="2838">
      <c r="L2838" s="30" t="n"/>
    </row>
    <row r="2839">
      <c r="L2839" s="30" t="n"/>
    </row>
    <row r="2840">
      <c r="L2840" s="30" t="n"/>
    </row>
    <row r="2841">
      <c r="L2841" s="30" t="n"/>
    </row>
    <row r="2842">
      <c r="L2842" s="30" t="n"/>
    </row>
    <row r="2843">
      <c r="L2843" s="30" t="n"/>
    </row>
    <row r="2844">
      <c r="L2844" s="30" t="n"/>
    </row>
    <row r="2845">
      <c r="L2845" s="30" t="n"/>
    </row>
    <row r="2846">
      <c r="L2846" s="30" t="n"/>
    </row>
    <row r="2847">
      <c r="L2847" s="30" t="n"/>
    </row>
    <row r="2848">
      <c r="L2848" s="30" t="n"/>
    </row>
    <row r="2849">
      <c r="L2849" s="30" t="n"/>
    </row>
    <row r="2850">
      <c r="L2850" s="30" t="n"/>
    </row>
    <row r="2851">
      <c r="L2851" s="30" t="n"/>
    </row>
    <row r="2852">
      <c r="L2852" s="30" t="n"/>
    </row>
    <row r="2853">
      <c r="L2853" s="30" t="n"/>
    </row>
    <row r="2854">
      <c r="L2854" s="30" t="n"/>
    </row>
    <row r="2855">
      <c r="L2855" s="30" t="n"/>
    </row>
    <row r="2856">
      <c r="L2856" s="30" t="n"/>
    </row>
    <row r="2857">
      <c r="L2857" s="30" t="n"/>
    </row>
    <row r="2858">
      <c r="L2858" s="30" t="n"/>
    </row>
    <row r="2859">
      <c r="L2859" s="30" t="n"/>
    </row>
    <row r="2860">
      <c r="L2860" s="30" t="n"/>
    </row>
    <row r="2861">
      <c r="L2861" s="30" t="n"/>
    </row>
    <row r="2862">
      <c r="L2862" s="30" t="n"/>
    </row>
    <row r="2863">
      <c r="L2863" s="30" t="n"/>
    </row>
    <row r="2864">
      <c r="L2864" s="30" t="n"/>
    </row>
    <row r="2865">
      <c r="L2865" s="30" t="n"/>
    </row>
    <row r="2866">
      <c r="L2866" s="30" t="n"/>
    </row>
    <row r="2867">
      <c r="L2867" s="30" t="n"/>
    </row>
    <row r="2868">
      <c r="L2868" s="30" t="n"/>
    </row>
    <row r="2869">
      <c r="L2869" s="30" t="n"/>
    </row>
    <row r="2870">
      <c r="L2870" s="30" t="n"/>
    </row>
    <row r="2871">
      <c r="L2871" s="30" t="n"/>
    </row>
    <row r="2872">
      <c r="L2872" s="30" t="n"/>
    </row>
    <row r="2873">
      <c r="L2873" s="30" t="n"/>
    </row>
    <row r="2874">
      <c r="L2874" s="30" t="n"/>
    </row>
    <row r="2875">
      <c r="L2875" s="30" t="n"/>
    </row>
    <row r="2876">
      <c r="L2876" s="30" t="n"/>
    </row>
    <row r="2877">
      <c r="L2877" s="30" t="n"/>
    </row>
    <row r="2878">
      <c r="L2878" s="30" t="n"/>
    </row>
    <row r="2879">
      <c r="L2879" s="30" t="n"/>
    </row>
    <row r="2880">
      <c r="L2880" s="30" t="n"/>
    </row>
    <row r="2881">
      <c r="L2881" s="30" t="n"/>
    </row>
    <row r="2882">
      <c r="L2882" s="30" t="n"/>
    </row>
    <row r="2883">
      <c r="L2883" s="30" t="n"/>
    </row>
    <row r="2884">
      <c r="L2884" s="30" t="n"/>
    </row>
    <row r="2885">
      <c r="L2885" s="30" t="n"/>
    </row>
    <row r="2886">
      <c r="L2886" s="30" t="n"/>
    </row>
    <row r="2887">
      <c r="L2887" s="30" t="n"/>
    </row>
    <row r="2888">
      <c r="L2888" s="30" t="n"/>
    </row>
    <row r="2889">
      <c r="L2889" s="30" t="n"/>
    </row>
    <row r="2890">
      <c r="L2890" s="30" t="n"/>
    </row>
    <row r="2891">
      <c r="L2891" s="30" t="n"/>
    </row>
    <row r="2892">
      <c r="L2892" s="30" t="n"/>
    </row>
    <row r="2893">
      <c r="L2893" s="30" t="n"/>
    </row>
    <row r="2894">
      <c r="L2894" s="30" t="n"/>
    </row>
    <row r="2895">
      <c r="L2895" s="30" t="n"/>
    </row>
    <row r="2896">
      <c r="L2896" s="30" t="n"/>
    </row>
    <row r="2897">
      <c r="L2897" s="30" t="n"/>
    </row>
    <row r="2898">
      <c r="L2898" s="30" t="n"/>
    </row>
    <row r="2899">
      <c r="L2899" s="30" t="n"/>
    </row>
    <row r="2900">
      <c r="L2900" s="30" t="n"/>
    </row>
    <row r="2901">
      <c r="L2901" s="30" t="n"/>
    </row>
    <row r="2902">
      <c r="L2902" s="30" t="n"/>
    </row>
    <row r="2903">
      <c r="L2903" s="30" t="n"/>
    </row>
    <row r="2904">
      <c r="L2904" s="30" t="n"/>
    </row>
    <row r="2905">
      <c r="L2905" s="30" t="n"/>
    </row>
    <row r="2906">
      <c r="L2906" s="30" t="n"/>
    </row>
    <row r="2907">
      <c r="L2907" s="30" t="n"/>
    </row>
    <row r="2908">
      <c r="L2908" s="30" t="n"/>
    </row>
    <row r="2909">
      <c r="L2909" s="30" t="n"/>
    </row>
    <row r="2910">
      <c r="L2910" s="30" t="n"/>
    </row>
    <row r="2911">
      <c r="L2911" s="30" t="n"/>
    </row>
    <row r="2912">
      <c r="L2912" s="30" t="n"/>
    </row>
    <row r="2913">
      <c r="L2913" s="30" t="n"/>
    </row>
    <row r="2914">
      <c r="L2914" s="30" t="n"/>
    </row>
    <row r="2915">
      <c r="L2915" s="30" t="n"/>
    </row>
    <row r="2916">
      <c r="L2916" s="30" t="n"/>
    </row>
    <row r="2917">
      <c r="L2917" s="30" t="n"/>
    </row>
    <row r="2918">
      <c r="L2918" s="30" t="n"/>
    </row>
    <row r="2919">
      <c r="L2919" s="30" t="n"/>
    </row>
    <row r="2920">
      <c r="L2920" s="30" t="n"/>
    </row>
    <row r="2921">
      <c r="L2921" s="30" t="n"/>
    </row>
    <row r="2922">
      <c r="L2922" s="30" t="n"/>
    </row>
    <row r="2923">
      <c r="L2923" s="30" t="n"/>
    </row>
    <row r="2924">
      <c r="L2924" s="30" t="n"/>
    </row>
    <row r="2925">
      <c r="L2925" s="30" t="n"/>
    </row>
    <row r="2926">
      <c r="L2926" s="30" t="n"/>
    </row>
    <row r="2927">
      <c r="L2927" s="30" t="n"/>
    </row>
    <row r="2928">
      <c r="L2928" s="30" t="n"/>
    </row>
    <row r="2929">
      <c r="L2929" s="30" t="n"/>
    </row>
    <row r="2930">
      <c r="L2930" s="30" t="n"/>
    </row>
    <row r="2931">
      <c r="L2931" s="30" t="n"/>
    </row>
    <row r="2932">
      <c r="L2932" s="30" t="n"/>
    </row>
    <row r="2933">
      <c r="L2933" s="30" t="n"/>
    </row>
    <row r="2934">
      <c r="L2934" s="30" t="n"/>
    </row>
    <row r="2935">
      <c r="L2935" s="30" t="n"/>
    </row>
    <row r="2936">
      <c r="L2936" s="30" t="n"/>
    </row>
    <row r="2937">
      <c r="L2937" s="30" t="n"/>
    </row>
    <row r="2938">
      <c r="L2938" s="30" t="n"/>
    </row>
    <row r="2939">
      <c r="L2939" s="30" t="n"/>
    </row>
    <row r="2940">
      <c r="L2940" s="30" t="n"/>
    </row>
    <row r="2941">
      <c r="L2941" s="30" t="n"/>
    </row>
    <row r="2942">
      <c r="L2942" s="30" t="n"/>
    </row>
    <row r="2943">
      <c r="L2943" s="30" t="n"/>
    </row>
    <row r="2944">
      <c r="L2944" s="30" t="n"/>
    </row>
    <row r="2945">
      <c r="L2945" s="30" t="n"/>
    </row>
    <row r="2946">
      <c r="L2946" s="30" t="n"/>
    </row>
    <row r="2947">
      <c r="L2947" s="30" t="n"/>
    </row>
    <row r="2948">
      <c r="L2948" s="30" t="n"/>
    </row>
    <row r="2949">
      <c r="L2949" s="30" t="n"/>
    </row>
    <row r="2950">
      <c r="L2950" s="30" t="n"/>
    </row>
    <row r="2951">
      <c r="L2951" s="30" t="n"/>
    </row>
    <row r="2952">
      <c r="L2952" s="30" t="n"/>
    </row>
    <row r="2953">
      <c r="L2953" s="30" t="n"/>
    </row>
    <row r="2954">
      <c r="L2954" s="30" t="n"/>
    </row>
    <row r="2955">
      <c r="L2955" s="30" t="n"/>
    </row>
    <row r="2956">
      <c r="L2956" s="30" t="n"/>
    </row>
    <row r="2957">
      <c r="L2957" s="30" t="n"/>
    </row>
    <row r="2958">
      <c r="L2958" s="30" t="n"/>
    </row>
    <row r="2959">
      <c r="L2959" s="30" t="n"/>
    </row>
    <row r="2960">
      <c r="L2960" s="30" t="n"/>
    </row>
    <row r="2961">
      <c r="L2961" s="30" t="n"/>
    </row>
    <row r="2962">
      <c r="L2962" s="30" t="n"/>
    </row>
    <row r="2963">
      <c r="L2963" s="30" t="n"/>
    </row>
    <row r="2964">
      <c r="L2964" s="30" t="n"/>
    </row>
    <row r="2965">
      <c r="L2965" s="30" t="n"/>
    </row>
    <row r="2966">
      <c r="L2966" s="30" t="n"/>
    </row>
    <row r="2967">
      <c r="L2967" s="30" t="n"/>
    </row>
    <row r="2968">
      <c r="L2968" s="30" t="n"/>
    </row>
    <row r="2969">
      <c r="L2969" s="30" t="n"/>
    </row>
    <row r="2970">
      <c r="L2970" s="30" t="n"/>
    </row>
    <row r="2971">
      <c r="L2971" s="30" t="n"/>
    </row>
    <row r="2972">
      <c r="L2972" s="30" t="n"/>
    </row>
    <row r="2973">
      <c r="L2973" s="30" t="n"/>
    </row>
    <row r="2974">
      <c r="L2974" s="30" t="n"/>
    </row>
    <row r="2975">
      <c r="L2975" s="30" t="n"/>
    </row>
    <row r="2976">
      <c r="L2976" s="30" t="n"/>
    </row>
    <row r="2977">
      <c r="L2977" s="30" t="n"/>
    </row>
    <row r="2978">
      <c r="L2978" s="30" t="n"/>
    </row>
    <row r="2979">
      <c r="L2979" s="30" t="n"/>
    </row>
    <row r="2980">
      <c r="L2980" s="30" t="n"/>
    </row>
    <row r="2981">
      <c r="L2981" s="30" t="n"/>
    </row>
    <row r="2982">
      <c r="L2982" s="30" t="n"/>
    </row>
    <row r="2983">
      <c r="L2983" s="30" t="n"/>
    </row>
    <row r="2984">
      <c r="L2984" s="30" t="n"/>
    </row>
    <row r="2985">
      <c r="L2985" s="30" t="n"/>
    </row>
    <row r="2986">
      <c r="L2986" s="30" t="n"/>
    </row>
    <row r="2987">
      <c r="L2987" s="30" t="n"/>
    </row>
    <row r="2988">
      <c r="L2988" s="30" t="n"/>
    </row>
    <row r="2989">
      <c r="L2989" s="30" t="n"/>
    </row>
    <row r="2990">
      <c r="L2990" s="30" t="n"/>
    </row>
    <row r="2991">
      <c r="L2991" s="30" t="n"/>
    </row>
    <row r="2992">
      <c r="L2992" s="30" t="n"/>
    </row>
    <row r="2993">
      <c r="L2993" s="30" t="n"/>
    </row>
    <row r="2994">
      <c r="L2994" s="30" t="n"/>
    </row>
    <row r="2995">
      <c r="L2995" s="30" t="n"/>
    </row>
    <row r="2996">
      <c r="L2996" s="30" t="n"/>
    </row>
    <row r="2997">
      <c r="L2997" s="30" t="n"/>
    </row>
    <row r="2998">
      <c r="L2998" s="30" t="n"/>
    </row>
    <row r="2999">
      <c r="L2999" s="30" t="n"/>
    </row>
    <row r="3000">
      <c r="L3000" s="30" t="n"/>
    </row>
    <row r="3001">
      <c r="L3001" s="30" t="n"/>
    </row>
    <row r="3002">
      <c r="L3002" s="30" t="n"/>
    </row>
    <row r="3003">
      <c r="L3003" s="30" t="n"/>
    </row>
    <row r="3004">
      <c r="L3004" s="30" t="n"/>
    </row>
    <row r="3005">
      <c r="L3005" s="30" t="n"/>
    </row>
    <row r="3006">
      <c r="L3006" s="30" t="n"/>
    </row>
    <row r="3007">
      <c r="L3007" s="30" t="n"/>
    </row>
    <row r="3008">
      <c r="L3008" s="30" t="n"/>
    </row>
    <row r="3009">
      <c r="L3009" s="30" t="n"/>
    </row>
    <row r="3010">
      <c r="L3010" s="30" t="n"/>
    </row>
    <row r="3011">
      <c r="L3011" s="30" t="n"/>
    </row>
    <row r="3012">
      <c r="L3012" s="30" t="n"/>
    </row>
    <row r="3013">
      <c r="L3013" s="30" t="n"/>
    </row>
    <row r="3014">
      <c r="L3014" s="30" t="n"/>
    </row>
    <row r="3015">
      <c r="L3015" s="30" t="n"/>
    </row>
    <row r="3016">
      <c r="L3016" s="30" t="n"/>
    </row>
    <row r="3017">
      <c r="L3017" s="30" t="n"/>
    </row>
    <row r="3018">
      <c r="L3018" s="30" t="n"/>
    </row>
    <row r="3019">
      <c r="L3019" s="30" t="n"/>
    </row>
    <row r="3020">
      <c r="L3020" s="30" t="n"/>
    </row>
    <row r="3021">
      <c r="L3021" s="30" t="n"/>
    </row>
    <row r="3022">
      <c r="L3022" s="30" t="n"/>
    </row>
    <row r="3023">
      <c r="L3023" s="30" t="n"/>
    </row>
    <row r="3024">
      <c r="L3024" s="30" t="n"/>
    </row>
    <row r="3025">
      <c r="L3025" s="30" t="n"/>
    </row>
    <row r="3026">
      <c r="L3026" s="30" t="n"/>
    </row>
    <row r="3027">
      <c r="L3027" s="30" t="n"/>
    </row>
    <row r="3028">
      <c r="L3028" s="30" t="n"/>
    </row>
    <row r="3029">
      <c r="L3029" s="30" t="n"/>
    </row>
    <row r="3030">
      <c r="L3030" s="30" t="n"/>
    </row>
    <row r="3031">
      <c r="L3031" s="30" t="n"/>
    </row>
    <row r="3032">
      <c r="L3032" s="30" t="n"/>
    </row>
    <row r="3033">
      <c r="L3033" s="30" t="n"/>
    </row>
    <row r="3034">
      <c r="L3034" s="30" t="n"/>
    </row>
    <row r="3035">
      <c r="L3035" s="30" t="n"/>
    </row>
    <row r="3036">
      <c r="L3036" s="30" t="n"/>
    </row>
    <row r="3037">
      <c r="L3037" s="30" t="n"/>
    </row>
    <row r="3038">
      <c r="L3038" s="30" t="n"/>
    </row>
    <row r="3039">
      <c r="L3039" s="30" t="n"/>
    </row>
    <row r="3040">
      <c r="L3040" s="30" t="n"/>
    </row>
    <row r="3041">
      <c r="L3041" s="30" t="n"/>
    </row>
    <row r="3042">
      <c r="L3042" s="30" t="n"/>
    </row>
    <row r="3043">
      <c r="L3043" s="30" t="n"/>
    </row>
    <row r="3044">
      <c r="L3044" s="30" t="n"/>
    </row>
    <row r="3045">
      <c r="L3045" s="30" t="n"/>
    </row>
    <row r="3046">
      <c r="L3046" s="30" t="n"/>
    </row>
    <row r="3047">
      <c r="L3047" s="30" t="n"/>
    </row>
    <row r="3048">
      <c r="L3048" s="30" t="n"/>
    </row>
    <row r="3049">
      <c r="L3049" s="30" t="n"/>
    </row>
    <row r="3050">
      <c r="L3050" s="30" t="n"/>
    </row>
    <row r="3051">
      <c r="L3051" s="30" t="n"/>
    </row>
    <row r="3052">
      <c r="L3052" s="30" t="n"/>
    </row>
    <row r="3053">
      <c r="L3053" s="30" t="n"/>
    </row>
    <row r="3054">
      <c r="L3054" s="30" t="n"/>
    </row>
    <row r="3055">
      <c r="L3055" s="30" t="n"/>
    </row>
    <row r="3056">
      <c r="L3056" s="30" t="n"/>
    </row>
    <row r="3057">
      <c r="L3057" s="30" t="n"/>
    </row>
    <row r="3058">
      <c r="L3058" s="30" t="n"/>
    </row>
    <row r="3059">
      <c r="L3059" s="30" t="n"/>
    </row>
    <row r="3060">
      <c r="L3060" s="30" t="n"/>
    </row>
    <row r="3061">
      <c r="L3061" s="30" t="n"/>
    </row>
    <row r="3062">
      <c r="L3062" s="30" t="n"/>
    </row>
    <row r="3063">
      <c r="L3063" s="30" t="n"/>
    </row>
    <row r="3064">
      <c r="L3064" s="30" t="n"/>
    </row>
    <row r="3065">
      <c r="L3065" s="30" t="n"/>
    </row>
    <row r="3066">
      <c r="L3066" s="30" t="n"/>
    </row>
    <row r="3067">
      <c r="L3067" s="30" t="n"/>
    </row>
    <row r="3068">
      <c r="L3068" s="30" t="n"/>
    </row>
    <row r="3069">
      <c r="L3069" s="30" t="n"/>
    </row>
    <row r="3070">
      <c r="L3070" s="30" t="n"/>
    </row>
    <row r="3071">
      <c r="L3071" s="30" t="n"/>
    </row>
    <row r="3072">
      <c r="L3072" s="30" t="n"/>
    </row>
    <row r="3073">
      <c r="L3073" s="30" t="n"/>
    </row>
    <row r="3074">
      <c r="L3074" s="30" t="n"/>
    </row>
    <row r="3075">
      <c r="L3075" s="30" t="n"/>
    </row>
    <row r="3076">
      <c r="L3076" s="30" t="n"/>
    </row>
    <row r="3077">
      <c r="L3077" s="30" t="n"/>
    </row>
    <row r="3078">
      <c r="L3078" s="30" t="n"/>
    </row>
    <row r="3079">
      <c r="L3079" s="30" t="n"/>
    </row>
    <row r="3080">
      <c r="L3080" s="30" t="n"/>
    </row>
    <row r="3081">
      <c r="L3081" s="30" t="n"/>
    </row>
    <row r="3082">
      <c r="L3082" s="30" t="n"/>
    </row>
    <row r="3083">
      <c r="L3083" s="30" t="n"/>
    </row>
    <row r="3084">
      <c r="L3084" s="30" t="n"/>
    </row>
    <row r="3085">
      <c r="L3085" s="30" t="n"/>
    </row>
    <row r="3086">
      <c r="L3086" s="30" t="n"/>
    </row>
    <row r="3087">
      <c r="L3087" s="30" t="n"/>
    </row>
    <row r="3088">
      <c r="L3088" s="30" t="n"/>
    </row>
    <row r="3089">
      <c r="L3089" s="30" t="n"/>
    </row>
    <row r="3090">
      <c r="L3090" s="30" t="n"/>
    </row>
    <row r="3091">
      <c r="L3091" s="30" t="n"/>
    </row>
    <row r="3092">
      <c r="L3092" s="30" t="n"/>
    </row>
    <row r="3093">
      <c r="L3093" s="30" t="n"/>
    </row>
    <row r="3094">
      <c r="L3094" s="30" t="n"/>
    </row>
    <row r="3095">
      <c r="L3095" s="30" t="n"/>
    </row>
    <row r="3096">
      <c r="L3096" s="30" t="n"/>
    </row>
    <row r="3097">
      <c r="L3097" s="30" t="n"/>
    </row>
    <row r="3098">
      <c r="L3098" s="30" t="n"/>
    </row>
    <row r="3099">
      <c r="L3099" s="30" t="n"/>
    </row>
    <row r="3100">
      <c r="L3100" s="30" t="n"/>
    </row>
    <row r="3101">
      <c r="L3101" s="30" t="n"/>
    </row>
    <row r="3102">
      <c r="L3102" s="30" t="n"/>
    </row>
    <row r="3103">
      <c r="L3103" s="30" t="n"/>
    </row>
    <row r="3104">
      <c r="L3104" s="30" t="n"/>
    </row>
    <row r="3105">
      <c r="L3105" s="30" t="n"/>
    </row>
    <row r="3106">
      <c r="L3106" s="30" t="n"/>
    </row>
    <row r="3107">
      <c r="L3107" s="30" t="n"/>
    </row>
    <row r="3108">
      <c r="L3108" s="30" t="n"/>
    </row>
    <row r="3109">
      <c r="L3109" s="30" t="n"/>
    </row>
    <row r="3110">
      <c r="L3110" s="30" t="n"/>
    </row>
    <row r="3111">
      <c r="L3111" s="30" t="n"/>
    </row>
    <row r="3112">
      <c r="L3112" s="30" t="n"/>
    </row>
    <row r="3113">
      <c r="L3113" s="30" t="n"/>
    </row>
    <row r="3114">
      <c r="L3114" s="30" t="n"/>
    </row>
    <row r="3115">
      <c r="L3115" s="30" t="n"/>
    </row>
    <row r="3116">
      <c r="L3116" s="30" t="n"/>
    </row>
    <row r="3117">
      <c r="L3117" s="30" t="n"/>
    </row>
    <row r="3118">
      <c r="L3118" s="30" t="n"/>
    </row>
    <row r="3119">
      <c r="L3119" s="30" t="n"/>
    </row>
    <row r="3120">
      <c r="L3120" s="30" t="n"/>
    </row>
    <row r="3121">
      <c r="L3121" s="30" t="n"/>
    </row>
    <row r="3122">
      <c r="L3122" s="30" t="n"/>
    </row>
    <row r="3123">
      <c r="L3123" s="30" t="n"/>
    </row>
    <row r="3124">
      <c r="L3124" s="30" t="n"/>
    </row>
    <row r="3125">
      <c r="L3125" s="30" t="n"/>
    </row>
    <row r="3126">
      <c r="L3126" s="30" t="n"/>
    </row>
    <row r="3127">
      <c r="L3127" s="30" t="n"/>
    </row>
    <row r="3128">
      <c r="L3128" s="30" t="n"/>
    </row>
    <row r="3129">
      <c r="L3129" s="30" t="n"/>
    </row>
    <row r="3130">
      <c r="L3130" s="30" t="n"/>
    </row>
    <row r="3131">
      <c r="L3131" s="30" t="n"/>
    </row>
    <row r="3132">
      <c r="L3132" s="30" t="n"/>
    </row>
    <row r="3133">
      <c r="L3133" s="30" t="n"/>
    </row>
    <row r="3134">
      <c r="L3134" s="30" t="n"/>
    </row>
    <row r="3135">
      <c r="L3135" s="30" t="n"/>
    </row>
    <row r="3136">
      <c r="L3136" s="30" t="n"/>
    </row>
    <row r="3137">
      <c r="L3137" s="30" t="n"/>
    </row>
    <row r="3138">
      <c r="L3138" s="30" t="n"/>
    </row>
    <row r="3139">
      <c r="L3139" s="30" t="n"/>
    </row>
    <row r="3140">
      <c r="L3140" s="30" t="n"/>
    </row>
    <row r="3141">
      <c r="L3141" s="30" t="n"/>
    </row>
    <row r="3142">
      <c r="L3142" s="30" t="n"/>
    </row>
    <row r="3143">
      <c r="L3143" s="30" t="n"/>
    </row>
    <row r="3144">
      <c r="L3144" s="30" t="n"/>
    </row>
    <row r="3145">
      <c r="L3145" s="30" t="n"/>
    </row>
    <row r="3146">
      <c r="L3146" s="30" t="n"/>
    </row>
    <row r="3147">
      <c r="L3147" s="30" t="n"/>
    </row>
    <row r="3148">
      <c r="L3148" s="30" t="n"/>
    </row>
    <row r="3149">
      <c r="L3149" s="30" t="n"/>
    </row>
    <row r="3150">
      <c r="L3150" s="30" t="n"/>
    </row>
    <row r="3151">
      <c r="L3151" s="30" t="n"/>
    </row>
    <row r="3152">
      <c r="L3152" s="30" t="n"/>
    </row>
    <row r="3153">
      <c r="L3153" s="30" t="n"/>
    </row>
    <row r="3154">
      <c r="L3154" s="30" t="n"/>
    </row>
    <row r="3155">
      <c r="L3155" s="30" t="n"/>
    </row>
    <row r="3156">
      <c r="L3156" s="30" t="n"/>
    </row>
    <row r="3157">
      <c r="L3157" s="30" t="n"/>
    </row>
    <row r="3158">
      <c r="L3158" s="30" t="n"/>
    </row>
    <row r="3159">
      <c r="L3159" s="30" t="n"/>
    </row>
    <row r="3160">
      <c r="L3160" s="30" t="n"/>
    </row>
    <row r="3161">
      <c r="L3161" s="30" t="n"/>
    </row>
    <row r="3162">
      <c r="L3162" s="30" t="n"/>
    </row>
    <row r="3163">
      <c r="L3163" s="30" t="n"/>
    </row>
    <row r="3164">
      <c r="L3164" s="30" t="n"/>
    </row>
    <row r="3165">
      <c r="L3165" s="30" t="n"/>
    </row>
    <row r="3166">
      <c r="L3166" s="30" t="n"/>
    </row>
    <row r="3167">
      <c r="L3167" s="30" t="n"/>
    </row>
    <row r="3168">
      <c r="L3168" s="30" t="n"/>
    </row>
    <row r="3169">
      <c r="L3169" s="30" t="n"/>
    </row>
    <row r="3170">
      <c r="L3170" s="30" t="n"/>
    </row>
    <row r="3171">
      <c r="L3171" s="30" t="n"/>
    </row>
    <row r="3172">
      <c r="L3172" s="30" t="n"/>
    </row>
    <row r="3173">
      <c r="L3173" s="30" t="n"/>
    </row>
    <row r="3174">
      <c r="L3174" s="30" t="n"/>
    </row>
    <row r="3175">
      <c r="L3175" s="30" t="n"/>
    </row>
    <row r="3176">
      <c r="L3176" s="30" t="n"/>
    </row>
    <row r="3177">
      <c r="L3177" s="30" t="n"/>
    </row>
    <row r="3178">
      <c r="L3178" s="30" t="n"/>
    </row>
    <row r="3179">
      <c r="L3179" s="30" t="n"/>
    </row>
    <row r="3180">
      <c r="L3180" s="30" t="n"/>
    </row>
    <row r="3181">
      <c r="L3181" s="30" t="n"/>
    </row>
    <row r="3182">
      <c r="L3182" s="30" t="n"/>
    </row>
    <row r="3183">
      <c r="L3183" s="30" t="n"/>
    </row>
    <row r="3184">
      <c r="L3184" s="30" t="n"/>
    </row>
    <row r="3185">
      <c r="L3185" s="30" t="n"/>
    </row>
    <row r="3186">
      <c r="L3186" s="30" t="n"/>
    </row>
    <row r="3187">
      <c r="L3187" s="30" t="n"/>
    </row>
    <row r="3188">
      <c r="L3188" s="30" t="n"/>
    </row>
    <row r="3189">
      <c r="L3189" s="30" t="n"/>
    </row>
    <row r="3190">
      <c r="L3190" s="30" t="n"/>
    </row>
    <row r="3191">
      <c r="L3191" s="30" t="n"/>
    </row>
    <row r="3192">
      <c r="L3192" s="30" t="n"/>
    </row>
    <row r="3193">
      <c r="L3193" s="30" t="n"/>
    </row>
    <row r="3194">
      <c r="L3194" s="30" t="n"/>
    </row>
    <row r="3195">
      <c r="L3195" s="30" t="n"/>
    </row>
    <row r="3196">
      <c r="L3196" s="30" t="n"/>
    </row>
    <row r="3197">
      <c r="L3197" s="30" t="n"/>
    </row>
    <row r="3198">
      <c r="L3198" s="30" t="n"/>
    </row>
    <row r="3199">
      <c r="L3199" s="30" t="n"/>
    </row>
    <row r="3200">
      <c r="L3200" s="30" t="n"/>
    </row>
    <row r="3201">
      <c r="L3201" s="30" t="n"/>
    </row>
    <row r="3202">
      <c r="L3202" s="30" t="n"/>
    </row>
    <row r="3203">
      <c r="L3203" s="30" t="n"/>
    </row>
    <row r="3204">
      <c r="L3204" s="30" t="n"/>
    </row>
    <row r="3205">
      <c r="L3205" s="30" t="n"/>
    </row>
    <row r="3206">
      <c r="L3206" s="30" t="n"/>
    </row>
    <row r="3207">
      <c r="L3207" s="30" t="n"/>
    </row>
    <row r="3208">
      <c r="L3208" s="30" t="n"/>
    </row>
    <row r="3209">
      <c r="L3209" s="30" t="n"/>
    </row>
    <row r="3210">
      <c r="L3210" s="30" t="n"/>
    </row>
    <row r="3211">
      <c r="L3211" s="30" t="n"/>
    </row>
    <row r="3212">
      <c r="L3212" s="30" t="n"/>
    </row>
    <row r="3213">
      <c r="L3213" s="30" t="n"/>
    </row>
    <row r="3214">
      <c r="L3214" s="30" t="n"/>
    </row>
    <row r="3215">
      <c r="L3215" s="30" t="n"/>
    </row>
    <row r="3216">
      <c r="L3216" s="30" t="n"/>
    </row>
    <row r="3217">
      <c r="L3217" s="30" t="n"/>
    </row>
    <row r="3218">
      <c r="L3218" s="30" t="n"/>
    </row>
    <row r="3219">
      <c r="L3219" s="30" t="n"/>
    </row>
    <row r="3220">
      <c r="L3220" s="30" t="n"/>
    </row>
    <row r="3221">
      <c r="L3221" s="30" t="n"/>
    </row>
    <row r="3222">
      <c r="L3222" s="30" t="n"/>
    </row>
    <row r="3223">
      <c r="L3223" s="30" t="n"/>
    </row>
    <row r="3224">
      <c r="L3224" s="30" t="n"/>
    </row>
    <row r="3225">
      <c r="L3225" s="30" t="n"/>
    </row>
    <row r="3226">
      <c r="L3226" s="30" t="n"/>
    </row>
    <row r="3227">
      <c r="L3227" s="30" t="n"/>
    </row>
    <row r="3228">
      <c r="L3228" s="30" t="n"/>
    </row>
    <row r="3229">
      <c r="L3229" s="30" t="n"/>
    </row>
    <row r="3230">
      <c r="L3230" s="30" t="n"/>
    </row>
    <row r="3231">
      <c r="L3231" s="30" t="n"/>
    </row>
    <row r="3232">
      <c r="L3232" s="30" t="n"/>
    </row>
    <row r="3233">
      <c r="L3233" s="30" t="n"/>
    </row>
    <row r="3234">
      <c r="L3234" s="30" t="n"/>
    </row>
    <row r="3235">
      <c r="L3235" s="30" t="n"/>
    </row>
    <row r="3236">
      <c r="L3236" s="30" t="n"/>
    </row>
    <row r="3237">
      <c r="L3237" s="30" t="n"/>
    </row>
    <row r="3238">
      <c r="L3238" s="30" t="n"/>
    </row>
    <row r="3239">
      <c r="L3239" s="30" t="n"/>
    </row>
    <row r="3240">
      <c r="L3240" s="30" t="n"/>
    </row>
    <row r="3241">
      <c r="L3241" s="30" t="n"/>
    </row>
    <row r="3242">
      <c r="L3242" s="30" t="n"/>
    </row>
    <row r="3243">
      <c r="L3243" s="30" t="n"/>
    </row>
    <row r="3244">
      <c r="L3244" s="30" t="n"/>
    </row>
    <row r="3245">
      <c r="L3245" s="30" t="n"/>
    </row>
    <row r="3246">
      <c r="L3246" s="30" t="n"/>
    </row>
    <row r="3247">
      <c r="L3247" s="30" t="n"/>
    </row>
    <row r="3248">
      <c r="L3248" s="30" t="n"/>
    </row>
    <row r="3249">
      <c r="L3249" s="30" t="n"/>
    </row>
    <row r="3250">
      <c r="L3250" s="30" t="n"/>
    </row>
    <row r="3251">
      <c r="L3251" s="30" t="n"/>
    </row>
    <row r="3252">
      <c r="L3252" s="30" t="n"/>
    </row>
    <row r="3253">
      <c r="L3253" s="30" t="n"/>
    </row>
    <row r="3254">
      <c r="L3254" s="30" t="n"/>
    </row>
    <row r="3255">
      <c r="L3255" s="30" t="n"/>
    </row>
    <row r="3256">
      <c r="L3256" s="30" t="n"/>
    </row>
    <row r="3257">
      <c r="L3257" s="30" t="n"/>
    </row>
    <row r="3258">
      <c r="L3258" s="30" t="n"/>
    </row>
    <row r="3259">
      <c r="L3259" s="30" t="n"/>
    </row>
    <row r="3260">
      <c r="L3260" s="30" t="n"/>
    </row>
    <row r="3261">
      <c r="L3261" s="30" t="n"/>
    </row>
    <row r="3262">
      <c r="L3262" s="30" t="n"/>
    </row>
    <row r="3263">
      <c r="L3263" s="30" t="n"/>
    </row>
    <row r="3264">
      <c r="L3264" s="30" t="n"/>
    </row>
    <row r="3265">
      <c r="L3265" s="30" t="n"/>
    </row>
    <row r="3266">
      <c r="L3266" s="30" t="n"/>
    </row>
    <row r="3267">
      <c r="L3267" s="30" t="n"/>
    </row>
    <row r="3268">
      <c r="L3268" s="30" t="n"/>
    </row>
    <row r="3269">
      <c r="L3269" s="30" t="n"/>
    </row>
    <row r="3270">
      <c r="L3270" s="30" t="n"/>
    </row>
    <row r="3271">
      <c r="L3271" s="30" t="n"/>
    </row>
    <row r="3272">
      <c r="L3272" s="30" t="n"/>
    </row>
    <row r="3273">
      <c r="L3273" s="30" t="n"/>
    </row>
    <row r="3274">
      <c r="L3274" s="30" t="n"/>
    </row>
    <row r="3275">
      <c r="L3275" s="30" t="n"/>
    </row>
    <row r="3276">
      <c r="L3276" s="30" t="n"/>
    </row>
    <row r="3277">
      <c r="L3277" s="30" t="n"/>
    </row>
    <row r="3278">
      <c r="L3278" s="30" t="n"/>
    </row>
    <row r="3279">
      <c r="L3279" s="30" t="n"/>
    </row>
    <row r="3280">
      <c r="L3280" s="30" t="n"/>
    </row>
    <row r="3281">
      <c r="L3281" s="30" t="n"/>
    </row>
    <row r="3282">
      <c r="L3282" s="30" t="n"/>
    </row>
    <row r="3283">
      <c r="L3283" s="30" t="n"/>
    </row>
    <row r="3284">
      <c r="L3284" s="30" t="n"/>
    </row>
    <row r="3285">
      <c r="L3285" s="30" t="n"/>
    </row>
    <row r="3286">
      <c r="L3286" s="30" t="n"/>
    </row>
    <row r="3287">
      <c r="L3287" s="30" t="n"/>
    </row>
    <row r="3288">
      <c r="L3288" s="30" t="n"/>
    </row>
    <row r="3289">
      <c r="L3289" s="30" t="n"/>
    </row>
    <row r="3290">
      <c r="L3290" s="30" t="n"/>
    </row>
    <row r="3291">
      <c r="L3291" s="30" t="n"/>
    </row>
    <row r="3292">
      <c r="L3292" s="30" t="n"/>
    </row>
    <row r="3293">
      <c r="L3293" s="30" t="n"/>
    </row>
    <row r="3294">
      <c r="L3294" s="30" t="n"/>
    </row>
    <row r="3295">
      <c r="L3295" s="30" t="n"/>
    </row>
    <row r="3296">
      <c r="L3296" s="30" t="n"/>
    </row>
    <row r="3297">
      <c r="L3297" s="30" t="n"/>
    </row>
    <row r="3298">
      <c r="L3298" s="30" t="n"/>
    </row>
    <row r="3299">
      <c r="L3299" s="30" t="n"/>
    </row>
    <row r="3300">
      <c r="L3300" s="30" t="n"/>
    </row>
    <row r="3301">
      <c r="L3301" s="30" t="n"/>
    </row>
    <row r="3302">
      <c r="L3302" s="30" t="n"/>
    </row>
    <row r="3303">
      <c r="L3303" s="30" t="n"/>
    </row>
    <row r="3304">
      <c r="L3304" s="30" t="n"/>
    </row>
    <row r="3305">
      <c r="L3305" s="30" t="n"/>
    </row>
    <row r="3306">
      <c r="L3306" s="30" t="n"/>
    </row>
    <row r="3307">
      <c r="L3307" s="30" t="n"/>
    </row>
    <row r="3308">
      <c r="L3308" s="30" t="n"/>
    </row>
    <row r="3309">
      <c r="L3309" s="30" t="n"/>
    </row>
    <row r="3310">
      <c r="L3310" s="30" t="n"/>
    </row>
    <row r="3311">
      <c r="L3311" s="30" t="n"/>
    </row>
    <row r="3312">
      <c r="L3312" s="30" t="n"/>
    </row>
    <row r="3313">
      <c r="L3313" s="30" t="n"/>
    </row>
    <row r="3314">
      <c r="L3314" s="30" t="n"/>
    </row>
    <row r="3315">
      <c r="L3315" s="30" t="n"/>
    </row>
    <row r="3316">
      <c r="L3316" s="30" t="n"/>
    </row>
    <row r="3317">
      <c r="L3317" s="30" t="n"/>
    </row>
    <row r="3318">
      <c r="L3318" s="30" t="n"/>
    </row>
    <row r="3319">
      <c r="L3319" s="30" t="n"/>
    </row>
    <row r="3320">
      <c r="L3320" s="30" t="n"/>
    </row>
    <row r="3321">
      <c r="L3321" s="30" t="n"/>
    </row>
    <row r="3322">
      <c r="L3322" s="30" t="n"/>
    </row>
    <row r="3323">
      <c r="L3323" s="30" t="n"/>
    </row>
    <row r="3324">
      <c r="L3324" s="30" t="n"/>
    </row>
    <row r="3325">
      <c r="L3325" s="30" t="n"/>
    </row>
    <row r="3326">
      <c r="L3326" s="30" t="n"/>
    </row>
    <row r="3327">
      <c r="L3327" s="30" t="n"/>
    </row>
    <row r="3328">
      <c r="L3328" s="30" t="n"/>
    </row>
    <row r="3329">
      <c r="L3329" s="30" t="n"/>
    </row>
    <row r="3330">
      <c r="L3330" s="30" t="n"/>
    </row>
    <row r="3331">
      <c r="L3331" s="30" t="n"/>
    </row>
    <row r="3332">
      <c r="L3332" s="30" t="n"/>
    </row>
    <row r="3333">
      <c r="L3333" s="30" t="n"/>
    </row>
    <row r="3334">
      <c r="L3334" s="30" t="n"/>
    </row>
    <row r="3335">
      <c r="L3335" s="30" t="n"/>
    </row>
    <row r="3336">
      <c r="L3336" s="30" t="n"/>
    </row>
    <row r="3337">
      <c r="L3337" s="30" t="n"/>
    </row>
    <row r="3338">
      <c r="L3338" s="30" t="n"/>
    </row>
    <row r="3339">
      <c r="L3339" s="30" t="n"/>
    </row>
    <row r="3340">
      <c r="L3340" s="30" t="n"/>
    </row>
    <row r="3341">
      <c r="L3341" s="30" t="n"/>
    </row>
    <row r="3342">
      <c r="L3342" s="30" t="n"/>
    </row>
    <row r="3343">
      <c r="L3343" s="30" t="n"/>
    </row>
    <row r="3344">
      <c r="L3344" s="30" t="n"/>
    </row>
    <row r="3345">
      <c r="L3345" s="30" t="n"/>
    </row>
    <row r="3346">
      <c r="L3346" s="30" t="n"/>
    </row>
    <row r="3347">
      <c r="L3347" s="30" t="n"/>
    </row>
    <row r="3348">
      <c r="L3348" s="30" t="n"/>
    </row>
    <row r="3349">
      <c r="L3349" s="30" t="n"/>
    </row>
    <row r="3350">
      <c r="L3350" s="30" t="n"/>
    </row>
    <row r="3351">
      <c r="L3351" s="30" t="n"/>
    </row>
    <row r="3352">
      <c r="L3352" s="30" t="n"/>
    </row>
    <row r="3353">
      <c r="L3353" s="30" t="n"/>
    </row>
    <row r="3354">
      <c r="L3354" s="30" t="n"/>
    </row>
    <row r="3355">
      <c r="L3355" s="30" t="n"/>
    </row>
    <row r="3356">
      <c r="L3356" s="30" t="n"/>
    </row>
    <row r="3357">
      <c r="L3357" s="30" t="n"/>
    </row>
    <row r="3358">
      <c r="L3358" s="30" t="n"/>
    </row>
    <row r="3359">
      <c r="L3359" s="30" t="n"/>
    </row>
    <row r="3360">
      <c r="L3360" s="30" t="n"/>
    </row>
    <row r="3361">
      <c r="L3361" s="30" t="n"/>
    </row>
    <row r="3362">
      <c r="L3362" s="30" t="n"/>
    </row>
    <row r="3363">
      <c r="L3363" s="30" t="n"/>
    </row>
    <row r="3364">
      <c r="L3364" s="30" t="n"/>
    </row>
    <row r="3365">
      <c r="L3365" s="30" t="n"/>
    </row>
    <row r="3366">
      <c r="L3366" s="30" t="n"/>
    </row>
    <row r="3367">
      <c r="L3367" s="30" t="n"/>
    </row>
    <row r="3368">
      <c r="L3368" s="30" t="n"/>
    </row>
    <row r="3369">
      <c r="L3369" s="30" t="n"/>
    </row>
    <row r="3370">
      <c r="L3370" s="30" t="n"/>
    </row>
    <row r="3371">
      <c r="L3371" s="30" t="n"/>
    </row>
    <row r="3372">
      <c r="L3372" s="30" t="n"/>
    </row>
    <row r="3373">
      <c r="L3373" s="30" t="n"/>
    </row>
    <row r="3374">
      <c r="L3374" s="30" t="n"/>
    </row>
    <row r="3375">
      <c r="L3375" s="30" t="n"/>
    </row>
    <row r="3376">
      <c r="L3376" s="30" t="n"/>
    </row>
    <row r="3377">
      <c r="L3377" s="30" t="n"/>
    </row>
    <row r="3378">
      <c r="L3378" s="30" t="n"/>
    </row>
    <row r="3379">
      <c r="L3379" s="30" t="n"/>
    </row>
    <row r="3380">
      <c r="L3380" s="30" t="n"/>
    </row>
    <row r="3381">
      <c r="L3381" s="30" t="n"/>
    </row>
    <row r="3382">
      <c r="L3382" s="30" t="n"/>
    </row>
    <row r="3383">
      <c r="L3383" s="30" t="n"/>
    </row>
    <row r="3384">
      <c r="L3384" s="30" t="n"/>
    </row>
    <row r="3385">
      <c r="L3385" s="30" t="n"/>
    </row>
    <row r="3386">
      <c r="L3386" s="30" t="n"/>
    </row>
    <row r="3387">
      <c r="L3387" s="30" t="n"/>
    </row>
    <row r="3388">
      <c r="L3388" s="30" t="n"/>
    </row>
    <row r="3389">
      <c r="L3389" s="30" t="n"/>
    </row>
    <row r="3390">
      <c r="L3390" s="30" t="n"/>
    </row>
    <row r="3391">
      <c r="L3391" s="30" t="n"/>
    </row>
    <row r="3392">
      <c r="L3392" s="30" t="n"/>
    </row>
    <row r="3393">
      <c r="L3393" s="30" t="n"/>
    </row>
    <row r="3394">
      <c r="L3394" s="30" t="n"/>
    </row>
    <row r="3395">
      <c r="L3395" s="30" t="n"/>
    </row>
    <row r="3396">
      <c r="L3396" s="30" t="n"/>
    </row>
    <row r="3397">
      <c r="L3397" s="30" t="n"/>
    </row>
    <row r="3398">
      <c r="L3398" s="30" t="n"/>
    </row>
    <row r="3399">
      <c r="L3399" s="30" t="n"/>
    </row>
    <row r="3400">
      <c r="L3400" s="30" t="n"/>
    </row>
    <row r="3401">
      <c r="L3401" s="30" t="n"/>
    </row>
    <row r="3402">
      <c r="L3402" s="30" t="n"/>
    </row>
    <row r="3403">
      <c r="L3403" s="30" t="n"/>
    </row>
    <row r="3404">
      <c r="L3404" s="30" t="n"/>
    </row>
    <row r="3405">
      <c r="L3405" s="30" t="n"/>
    </row>
    <row r="3406">
      <c r="L3406" s="30" t="n"/>
    </row>
    <row r="3407">
      <c r="L3407" s="30" t="n"/>
    </row>
    <row r="3408">
      <c r="L3408" s="30" t="n"/>
    </row>
    <row r="3409">
      <c r="L3409" s="30" t="n"/>
    </row>
    <row r="3410">
      <c r="L3410" s="30" t="n"/>
    </row>
    <row r="3411">
      <c r="L3411" s="30" t="n"/>
    </row>
    <row r="3412">
      <c r="L3412" s="30" t="n"/>
    </row>
    <row r="3413">
      <c r="L3413" s="30" t="n"/>
    </row>
    <row r="3414">
      <c r="L3414" s="30" t="n"/>
    </row>
    <row r="3415">
      <c r="L3415" s="30" t="n"/>
    </row>
    <row r="3416">
      <c r="L3416" s="30" t="n"/>
    </row>
    <row r="3417">
      <c r="L3417" s="30" t="n"/>
    </row>
    <row r="3418">
      <c r="L3418" s="30" t="n"/>
    </row>
    <row r="3419">
      <c r="L3419" s="30" t="n"/>
    </row>
    <row r="3420">
      <c r="L3420" s="30" t="n"/>
    </row>
    <row r="3421">
      <c r="L3421" s="30" t="n"/>
    </row>
    <row r="3422">
      <c r="L3422" s="30" t="n"/>
    </row>
    <row r="3423">
      <c r="L3423" s="30" t="n"/>
    </row>
    <row r="3424">
      <c r="L3424" s="30" t="n"/>
    </row>
    <row r="3425">
      <c r="L3425" s="30" t="n"/>
    </row>
    <row r="3426">
      <c r="L3426" s="30" t="n"/>
    </row>
    <row r="3427">
      <c r="L3427" s="30" t="n"/>
    </row>
    <row r="3428">
      <c r="L3428" s="30" t="n"/>
    </row>
    <row r="3429">
      <c r="L3429" s="30" t="n"/>
    </row>
    <row r="3430">
      <c r="L3430" s="30" t="n"/>
    </row>
    <row r="3431">
      <c r="L3431" s="30" t="n"/>
    </row>
    <row r="3432">
      <c r="L3432" s="30" t="n"/>
    </row>
    <row r="3433">
      <c r="L3433" s="30" t="n"/>
    </row>
    <row r="3434">
      <c r="L3434" s="30" t="n"/>
    </row>
    <row r="3435">
      <c r="L3435" s="30" t="n"/>
    </row>
    <row r="3436">
      <c r="L3436" s="30" t="n"/>
    </row>
    <row r="3437">
      <c r="L3437" s="30" t="n"/>
    </row>
    <row r="3438">
      <c r="L3438" s="30" t="n"/>
    </row>
    <row r="3439">
      <c r="L3439" s="30" t="n"/>
    </row>
    <row r="3440">
      <c r="L3440" s="30" t="n"/>
    </row>
    <row r="3441">
      <c r="L3441" s="30" t="n"/>
    </row>
    <row r="3442">
      <c r="L3442" s="30" t="n"/>
    </row>
    <row r="3443">
      <c r="L3443" s="30" t="n"/>
    </row>
    <row r="3444">
      <c r="L3444" s="30" t="n"/>
    </row>
    <row r="3445">
      <c r="L3445" s="30" t="n"/>
    </row>
    <row r="3446">
      <c r="L3446" s="30" t="n"/>
    </row>
    <row r="3447">
      <c r="L3447" s="30" t="n"/>
    </row>
    <row r="3448">
      <c r="L3448" s="30" t="n"/>
    </row>
    <row r="3449">
      <c r="L3449" s="30" t="n"/>
    </row>
    <row r="3450">
      <c r="L3450" s="30" t="n"/>
    </row>
    <row r="3451">
      <c r="L3451" s="30" t="n"/>
    </row>
    <row r="3452">
      <c r="L3452" s="30" t="n"/>
    </row>
    <row r="3453">
      <c r="L3453" s="30" t="n"/>
    </row>
    <row r="3454">
      <c r="L3454" s="30" t="n"/>
    </row>
    <row r="3455">
      <c r="L3455" s="30" t="n"/>
    </row>
    <row r="3456">
      <c r="L3456" s="30" t="n"/>
    </row>
    <row r="3457">
      <c r="L3457" s="30" t="n"/>
    </row>
    <row r="3458">
      <c r="L3458" s="30" t="n"/>
    </row>
    <row r="3459">
      <c r="L3459" s="30" t="n"/>
    </row>
    <row r="3460">
      <c r="L3460" s="30" t="n"/>
    </row>
    <row r="3461">
      <c r="L3461" s="30" t="n"/>
    </row>
    <row r="3462">
      <c r="L3462" s="30" t="n"/>
    </row>
    <row r="3463">
      <c r="L3463" s="30" t="n"/>
    </row>
    <row r="3464">
      <c r="L3464" s="30" t="n"/>
    </row>
    <row r="3465">
      <c r="L3465" s="30" t="n"/>
    </row>
    <row r="3466">
      <c r="L3466" s="30" t="n"/>
    </row>
    <row r="3467">
      <c r="L3467" s="30" t="n"/>
    </row>
    <row r="3468">
      <c r="L3468" s="30" t="n"/>
    </row>
    <row r="3469">
      <c r="L3469" s="30" t="n"/>
    </row>
    <row r="3470">
      <c r="L3470" s="30" t="n"/>
    </row>
    <row r="3471">
      <c r="L3471" s="30" t="n"/>
    </row>
    <row r="3472">
      <c r="L3472" s="30" t="n"/>
    </row>
    <row r="3473">
      <c r="L3473" s="30" t="n"/>
    </row>
    <row r="3474">
      <c r="L3474" s="30" t="n"/>
    </row>
    <row r="3475">
      <c r="L3475" s="30" t="n"/>
    </row>
    <row r="3476">
      <c r="L3476" s="30" t="n"/>
    </row>
    <row r="3477">
      <c r="L3477" s="30" t="n"/>
    </row>
    <row r="3478">
      <c r="L3478" s="30" t="n"/>
    </row>
    <row r="3479">
      <c r="L3479" s="30" t="n"/>
    </row>
    <row r="3480">
      <c r="L3480" s="30" t="n"/>
    </row>
    <row r="3481">
      <c r="L3481" s="30" t="n"/>
    </row>
    <row r="3482">
      <c r="L3482" s="30" t="n"/>
    </row>
    <row r="3483">
      <c r="L3483" s="30" t="n"/>
    </row>
    <row r="3484">
      <c r="L3484" s="30" t="n"/>
    </row>
    <row r="3485">
      <c r="L3485" s="30" t="n"/>
    </row>
    <row r="3486">
      <c r="L3486" s="30" t="n"/>
    </row>
    <row r="3487">
      <c r="L3487" s="30" t="n"/>
    </row>
    <row r="3488">
      <c r="L3488" s="30" t="n"/>
    </row>
    <row r="3489">
      <c r="L3489" s="30" t="n"/>
    </row>
    <row r="3490">
      <c r="L3490" s="30" t="n"/>
    </row>
    <row r="3491">
      <c r="L3491" s="30" t="n"/>
    </row>
    <row r="3492">
      <c r="L3492" s="30" t="n"/>
    </row>
    <row r="3493">
      <c r="L3493" s="30" t="n"/>
    </row>
    <row r="3494">
      <c r="L3494" s="30" t="n"/>
    </row>
    <row r="3495">
      <c r="L3495" s="30" t="n"/>
    </row>
    <row r="3496">
      <c r="L3496" s="30" t="n"/>
    </row>
    <row r="3497">
      <c r="L3497" s="30" t="n"/>
    </row>
    <row r="3498">
      <c r="L3498" s="30" t="n"/>
    </row>
    <row r="3499">
      <c r="L3499" s="30" t="n"/>
    </row>
    <row r="3500">
      <c r="L3500" s="30" t="n"/>
    </row>
    <row r="3501">
      <c r="L3501" s="30" t="n"/>
    </row>
    <row r="3502">
      <c r="L3502" s="30" t="n"/>
    </row>
    <row r="3503">
      <c r="L3503" s="30" t="n"/>
    </row>
    <row r="3504">
      <c r="L3504" s="30" t="n"/>
    </row>
    <row r="3505">
      <c r="L3505" s="30" t="n"/>
    </row>
    <row r="3506">
      <c r="L3506" s="30" t="n"/>
    </row>
    <row r="3507">
      <c r="L3507" s="30" t="n"/>
    </row>
    <row r="3508">
      <c r="L3508" s="30" t="n"/>
    </row>
    <row r="3509">
      <c r="L3509" s="30" t="n"/>
    </row>
    <row r="3510">
      <c r="L3510" s="30" t="n"/>
    </row>
    <row r="3511">
      <c r="L3511" s="30" t="n"/>
    </row>
    <row r="3512">
      <c r="L3512" s="30" t="n"/>
    </row>
    <row r="3513">
      <c r="L3513" s="30" t="n"/>
    </row>
    <row r="3514">
      <c r="L3514" s="30" t="n"/>
    </row>
    <row r="3515">
      <c r="L3515" s="30" t="n"/>
    </row>
    <row r="3516">
      <c r="L3516" s="30" t="n"/>
    </row>
    <row r="3517">
      <c r="L3517" s="30" t="n"/>
    </row>
    <row r="3518">
      <c r="L3518" s="30" t="n"/>
    </row>
    <row r="3519">
      <c r="L3519" s="30" t="n"/>
    </row>
    <row r="3520">
      <c r="L3520" s="30" t="n"/>
    </row>
    <row r="3521">
      <c r="L3521" s="30" t="n"/>
    </row>
    <row r="3522">
      <c r="L3522" s="30" t="n"/>
    </row>
    <row r="3523">
      <c r="L3523" s="30" t="n"/>
    </row>
    <row r="3524">
      <c r="L3524" s="30" t="n"/>
    </row>
    <row r="3525">
      <c r="L3525" s="30" t="n"/>
    </row>
    <row r="3526">
      <c r="L3526" s="30" t="n"/>
    </row>
    <row r="3527">
      <c r="L3527" s="30" t="n"/>
    </row>
    <row r="3528">
      <c r="L3528" s="30" t="n"/>
    </row>
    <row r="3529">
      <c r="L3529" s="30" t="n"/>
    </row>
    <row r="3530">
      <c r="L3530" s="30" t="n"/>
    </row>
    <row r="3531">
      <c r="L3531" s="30" t="n"/>
    </row>
    <row r="3532">
      <c r="L3532" s="30" t="n"/>
    </row>
    <row r="3533">
      <c r="L3533" s="30" t="n"/>
    </row>
    <row r="3534">
      <c r="L3534" s="30" t="n"/>
    </row>
    <row r="3535">
      <c r="L3535" s="30" t="n"/>
    </row>
    <row r="3536">
      <c r="L3536" s="30" t="n"/>
    </row>
    <row r="3537">
      <c r="L3537" s="30" t="n"/>
    </row>
    <row r="3538">
      <c r="L3538" s="30" t="n"/>
    </row>
    <row r="3539">
      <c r="L3539" s="30" t="n"/>
    </row>
    <row r="3540">
      <c r="L3540" s="30" t="n"/>
    </row>
    <row r="3541">
      <c r="L3541" s="30" t="n"/>
    </row>
    <row r="3542">
      <c r="L3542" s="30" t="n"/>
    </row>
    <row r="3543">
      <c r="L3543" s="30" t="n"/>
    </row>
    <row r="3544">
      <c r="L3544" s="30" t="n"/>
    </row>
    <row r="3545">
      <c r="L3545" s="30" t="n"/>
    </row>
    <row r="3546">
      <c r="L3546" s="30" t="n"/>
    </row>
    <row r="3547">
      <c r="L3547" s="30" t="n"/>
    </row>
    <row r="3548">
      <c r="L3548" s="30" t="n"/>
    </row>
    <row r="3549">
      <c r="L3549" s="30" t="n"/>
    </row>
    <row r="3550">
      <c r="L3550" s="30" t="n"/>
    </row>
    <row r="3551">
      <c r="L3551" s="30" t="n"/>
    </row>
    <row r="3552">
      <c r="L3552" s="30" t="n"/>
    </row>
    <row r="3553">
      <c r="L3553" s="30" t="n"/>
    </row>
    <row r="3554">
      <c r="L3554" s="30" t="n"/>
    </row>
    <row r="3555">
      <c r="L3555" s="30" t="n"/>
    </row>
    <row r="3556">
      <c r="L3556" s="30" t="n"/>
    </row>
    <row r="3557">
      <c r="L3557" s="30" t="n"/>
    </row>
    <row r="3558">
      <c r="L3558" s="30" t="n"/>
    </row>
    <row r="3559">
      <c r="L3559" s="30" t="n"/>
    </row>
    <row r="3560">
      <c r="L3560" s="30" t="n"/>
    </row>
    <row r="3561">
      <c r="L3561" s="30" t="n"/>
    </row>
    <row r="3562">
      <c r="L3562" s="30" t="n"/>
    </row>
    <row r="3563">
      <c r="L3563" s="30" t="n"/>
    </row>
    <row r="3564">
      <c r="L3564" s="30" t="n"/>
    </row>
    <row r="3565">
      <c r="L3565" s="30" t="n"/>
    </row>
    <row r="3566">
      <c r="L3566" s="30" t="n"/>
    </row>
    <row r="3567">
      <c r="L3567" s="30" t="n"/>
    </row>
    <row r="3568">
      <c r="L3568" s="30" t="n"/>
    </row>
    <row r="3569">
      <c r="L3569" s="30" t="n"/>
    </row>
    <row r="3570">
      <c r="L3570" s="30" t="n"/>
    </row>
    <row r="3571">
      <c r="L3571" s="30" t="n"/>
    </row>
    <row r="3572">
      <c r="L3572" s="30" t="n"/>
    </row>
    <row r="3573">
      <c r="L3573" s="30" t="n"/>
    </row>
    <row r="3574">
      <c r="L3574" s="30" t="n"/>
    </row>
    <row r="3575">
      <c r="L3575" s="30" t="n"/>
    </row>
    <row r="3576">
      <c r="L3576" s="30" t="n"/>
    </row>
    <row r="3577">
      <c r="L3577" s="30" t="n"/>
    </row>
    <row r="3578">
      <c r="L3578" s="30" t="n"/>
    </row>
    <row r="3579">
      <c r="L3579" s="30" t="n"/>
    </row>
    <row r="3580">
      <c r="L3580" s="30" t="n"/>
    </row>
    <row r="3581">
      <c r="L3581" s="30" t="n"/>
    </row>
    <row r="3582">
      <c r="L3582" s="30" t="n"/>
    </row>
    <row r="3583">
      <c r="L3583" s="30" t="n"/>
    </row>
    <row r="3584">
      <c r="L3584" s="30" t="n"/>
    </row>
    <row r="3585">
      <c r="L3585" s="30" t="n"/>
    </row>
    <row r="3586">
      <c r="L3586" s="30" t="n"/>
    </row>
    <row r="3587">
      <c r="L3587" s="30" t="n"/>
    </row>
    <row r="3588">
      <c r="L3588" s="30" t="n"/>
    </row>
    <row r="3589">
      <c r="L3589" s="30" t="n"/>
    </row>
    <row r="3590">
      <c r="L3590" s="30" t="n"/>
    </row>
    <row r="3591">
      <c r="L3591" s="30" t="n"/>
    </row>
    <row r="3592">
      <c r="L3592" s="30" t="n"/>
    </row>
    <row r="3593">
      <c r="L3593" s="30" t="n"/>
    </row>
    <row r="3594">
      <c r="L3594" s="30" t="n"/>
    </row>
    <row r="3595">
      <c r="L3595" s="30" t="n"/>
    </row>
    <row r="3596">
      <c r="L3596" s="30" t="n"/>
    </row>
    <row r="3597">
      <c r="L3597" s="30" t="n"/>
    </row>
    <row r="3598">
      <c r="L3598" s="30" t="n"/>
    </row>
    <row r="3599">
      <c r="L3599" s="30" t="n"/>
    </row>
    <row r="3600">
      <c r="L3600" s="30" t="n"/>
    </row>
    <row r="3601">
      <c r="L3601" s="30" t="n"/>
    </row>
    <row r="3602">
      <c r="L3602" s="30" t="n"/>
    </row>
    <row r="3603">
      <c r="L3603" s="30" t="n"/>
    </row>
    <row r="3604">
      <c r="L3604" s="30" t="n"/>
    </row>
    <row r="3605">
      <c r="L3605" s="30" t="n"/>
    </row>
    <row r="3606">
      <c r="L3606" s="30" t="n"/>
    </row>
    <row r="3607">
      <c r="L3607" s="30" t="n"/>
    </row>
    <row r="3608">
      <c r="L3608" s="30" t="n"/>
    </row>
    <row r="3609">
      <c r="L3609" s="30" t="n"/>
    </row>
    <row r="3610">
      <c r="L3610" s="30" t="n"/>
    </row>
    <row r="3611">
      <c r="L3611" s="30" t="n"/>
    </row>
    <row r="3612">
      <c r="L3612" s="30" t="n"/>
    </row>
    <row r="3613">
      <c r="L3613" s="30" t="n"/>
    </row>
    <row r="3614">
      <c r="L3614" s="30" t="n"/>
    </row>
    <row r="3615">
      <c r="L3615" s="30" t="n"/>
    </row>
    <row r="3616">
      <c r="L3616" s="30" t="n"/>
    </row>
    <row r="3617">
      <c r="L3617" s="30" t="n"/>
    </row>
    <row r="3618">
      <c r="L3618" s="30" t="n"/>
    </row>
    <row r="3619">
      <c r="L3619" s="30" t="n"/>
    </row>
    <row r="3620">
      <c r="L3620" s="30" t="n"/>
    </row>
    <row r="3621">
      <c r="L3621" s="30" t="n"/>
    </row>
    <row r="3622">
      <c r="L3622" s="30" t="n"/>
    </row>
    <row r="3623">
      <c r="L3623" s="30" t="n"/>
    </row>
    <row r="3624">
      <c r="L3624" s="30" t="n"/>
    </row>
    <row r="3625">
      <c r="L3625" s="30" t="n"/>
    </row>
    <row r="3626">
      <c r="L3626" s="30" t="n"/>
    </row>
    <row r="3627">
      <c r="L3627" s="30" t="n"/>
    </row>
    <row r="3628">
      <c r="L3628" s="30" t="n"/>
    </row>
    <row r="3629">
      <c r="L3629" s="30" t="n"/>
    </row>
    <row r="3630">
      <c r="L3630" s="30" t="n"/>
    </row>
    <row r="3631">
      <c r="L3631" s="30" t="n"/>
    </row>
    <row r="3632">
      <c r="L3632" s="30" t="n"/>
    </row>
    <row r="3633">
      <c r="L3633" s="30" t="n"/>
    </row>
    <row r="3634">
      <c r="L3634" s="30" t="n"/>
    </row>
    <row r="3635">
      <c r="L3635" s="30" t="n"/>
    </row>
    <row r="3636">
      <c r="L3636" s="30" t="n"/>
    </row>
    <row r="3637">
      <c r="L3637" s="30" t="n"/>
    </row>
    <row r="3638">
      <c r="L3638" s="30" t="n"/>
    </row>
    <row r="3639">
      <c r="L3639" s="30" t="n"/>
    </row>
    <row r="3640">
      <c r="L3640" s="30" t="n"/>
    </row>
    <row r="3641">
      <c r="L3641" s="30" t="n"/>
    </row>
    <row r="3642">
      <c r="L3642" s="30" t="n"/>
    </row>
    <row r="3643">
      <c r="L3643" s="30" t="n"/>
    </row>
    <row r="3644">
      <c r="L3644" s="30" t="n"/>
    </row>
    <row r="3645">
      <c r="L3645" s="30" t="n"/>
    </row>
    <row r="3646">
      <c r="L3646" s="30" t="n"/>
    </row>
    <row r="3647">
      <c r="L3647" s="30" t="n"/>
    </row>
    <row r="3648">
      <c r="L3648" s="30" t="n"/>
    </row>
    <row r="3649">
      <c r="L3649" s="30" t="n"/>
    </row>
    <row r="3650">
      <c r="L3650" s="30" t="n"/>
    </row>
    <row r="3651">
      <c r="L3651" s="30" t="n"/>
    </row>
    <row r="3652">
      <c r="L3652" s="30" t="n"/>
    </row>
    <row r="3653">
      <c r="L3653" s="30" t="n"/>
    </row>
    <row r="3654">
      <c r="L3654" s="30" t="n"/>
    </row>
    <row r="3655">
      <c r="L3655" s="30" t="n"/>
    </row>
    <row r="3656">
      <c r="L3656" s="30" t="n"/>
    </row>
    <row r="3657">
      <c r="L3657" s="30" t="n"/>
    </row>
    <row r="3658">
      <c r="L3658" s="30" t="n"/>
    </row>
    <row r="3659">
      <c r="L3659" s="30" t="n"/>
    </row>
    <row r="3660">
      <c r="L3660" s="30" t="n"/>
    </row>
    <row r="3661">
      <c r="L3661" s="30" t="n"/>
    </row>
    <row r="3662">
      <c r="L3662" s="30" t="n"/>
    </row>
    <row r="3663">
      <c r="L3663" s="30" t="n"/>
    </row>
    <row r="3664">
      <c r="L3664" s="30" t="n"/>
    </row>
    <row r="3665">
      <c r="L3665" s="30" t="n"/>
    </row>
    <row r="3666">
      <c r="L3666" s="30" t="n"/>
    </row>
    <row r="3667">
      <c r="L3667" s="30" t="n"/>
    </row>
    <row r="3668">
      <c r="L3668" s="30" t="n"/>
    </row>
    <row r="3669">
      <c r="L3669" s="30" t="n"/>
    </row>
    <row r="3670">
      <c r="L3670" s="30" t="n"/>
    </row>
    <row r="3671">
      <c r="L3671" s="30" t="n"/>
    </row>
    <row r="3672">
      <c r="L3672" s="30" t="n"/>
    </row>
    <row r="3673">
      <c r="L3673" s="30" t="n"/>
    </row>
    <row r="3674">
      <c r="L3674" s="30" t="n"/>
    </row>
    <row r="3675">
      <c r="L3675" s="30" t="n"/>
    </row>
    <row r="3676">
      <c r="L3676" s="30" t="n"/>
    </row>
    <row r="3677">
      <c r="L3677" s="30" t="n"/>
    </row>
    <row r="3678">
      <c r="L3678" s="30" t="n"/>
    </row>
    <row r="3679">
      <c r="L3679" s="30" t="n"/>
    </row>
    <row r="3680">
      <c r="L3680" s="30" t="n"/>
    </row>
    <row r="3681">
      <c r="L3681" s="30" t="n"/>
    </row>
    <row r="3682">
      <c r="L3682" s="30" t="n"/>
    </row>
    <row r="3683">
      <c r="L3683" s="30" t="n"/>
    </row>
    <row r="3684">
      <c r="L3684" s="30" t="n"/>
    </row>
    <row r="3685">
      <c r="L3685" s="30" t="n"/>
    </row>
    <row r="3686">
      <c r="L3686" s="30" t="n"/>
    </row>
    <row r="3687">
      <c r="L3687" s="30" t="n"/>
    </row>
    <row r="3688">
      <c r="L3688" s="30" t="n"/>
    </row>
    <row r="3689">
      <c r="L3689" s="30" t="n"/>
    </row>
    <row r="3690">
      <c r="L3690" s="30" t="n"/>
    </row>
    <row r="3691">
      <c r="L3691" s="30" t="n"/>
    </row>
    <row r="3692">
      <c r="L3692" s="30" t="n"/>
    </row>
    <row r="3693">
      <c r="L3693" s="30" t="n"/>
    </row>
    <row r="3694">
      <c r="L3694" s="30" t="n"/>
    </row>
    <row r="3695">
      <c r="L3695" s="30" t="n"/>
    </row>
    <row r="3696">
      <c r="L3696" s="30" t="n"/>
    </row>
    <row r="3697">
      <c r="L3697" s="30" t="n"/>
    </row>
    <row r="3698">
      <c r="L3698" s="30" t="n"/>
    </row>
    <row r="3699">
      <c r="L3699" s="30" t="n"/>
    </row>
    <row r="3700">
      <c r="L3700" s="30" t="n"/>
    </row>
    <row r="3701">
      <c r="L3701" s="30" t="n"/>
    </row>
    <row r="3702">
      <c r="L3702" s="30" t="n"/>
    </row>
    <row r="3703">
      <c r="L3703" s="30" t="n"/>
    </row>
    <row r="3704">
      <c r="L3704" s="30" t="n"/>
    </row>
    <row r="3705">
      <c r="L3705" s="30" t="n"/>
    </row>
    <row r="3706">
      <c r="L3706" s="30" t="n"/>
    </row>
    <row r="3707">
      <c r="L3707" s="30" t="n"/>
    </row>
    <row r="3708">
      <c r="L3708" s="30" t="n"/>
    </row>
    <row r="3709">
      <c r="L3709" s="30" t="n"/>
    </row>
    <row r="3710">
      <c r="L3710" s="30" t="n"/>
    </row>
    <row r="3711">
      <c r="L3711" s="30" t="n"/>
    </row>
    <row r="3712">
      <c r="L3712" s="30" t="n"/>
    </row>
    <row r="3713">
      <c r="L3713" s="30" t="n"/>
    </row>
    <row r="3714">
      <c r="L3714" s="30" t="n"/>
    </row>
    <row r="3715">
      <c r="L3715" s="30" t="n"/>
    </row>
    <row r="3716">
      <c r="L3716" s="30" t="n"/>
    </row>
    <row r="3717">
      <c r="L3717" s="30" t="n"/>
    </row>
    <row r="3718">
      <c r="L3718" s="30" t="n"/>
    </row>
    <row r="3719">
      <c r="L3719" s="30" t="n"/>
    </row>
    <row r="3720">
      <c r="L3720" s="30" t="n"/>
    </row>
    <row r="3721">
      <c r="L3721" s="30" t="n"/>
    </row>
    <row r="3722">
      <c r="L3722" s="30" t="n"/>
    </row>
    <row r="3723">
      <c r="L3723" s="30" t="n"/>
    </row>
    <row r="3724">
      <c r="L3724" s="30" t="n"/>
    </row>
    <row r="3725">
      <c r="L3725" s="30" t="n"/>
    </row>
    <row r="3726">
      <c r="L3726" s="30" t="n"/>
    </row>
    <row r="3727">
      <c r="L3727" s="30" t="n"/>
    </row>
    <row r="3728">
      <c r="L3728" s="30" t="n"/>
    </row>
    <row r="3729">
      <c r="L3729" s="30" t="n"/>
    </row>
    <row r="3730">
      <c r="L3730" s="30" t="n"/>
    </row>
    <row r="3731">
      <c r="L3731" s="30" t="n"/>
    </row>
    <row r="3732">
      <c r="L3732" s="30" t="n"/>
    </row>
    <row r="3733">
      <c r="L3733" s="30" t="n"/>
    </row>
    <row r="3734">
      <c r="L3734" s="30" t="n"/>
    </row>
    <row r="3735">
      <c r="L3735" s="30" t="n"/>
    </row>
    <row r="3736">
      <c r="L3736" s="30" t="n"/>
    </row>
    <row r="3737">
      <c r="L3737" s="30" t="n"/>
    </row>
    <row r="3738">
      <c r="L3738" s="30" t="n"/>
    </row>
    <row r="3739">
      <c r="L3739" s="30" t="n"/>
    </row>
    <row r="3740">
      <c r="L3740" s="30" t="n"/>
    </row>
    <row r="3741">
      <c r="L3741" s="30" t="n"/>
    </row>
    <row r="3742">
      <c r="L3742" s="30" t="n"/>
    </row>
    <row r="3743">
      <c r="L3743" s="30" t="n"/>
    </row>
    <row r="3744">
      <c r="L3744" s="30" t="n"/>
    </row>
    <row r="3745">
      <c r="L3745" s="30" t="n"/>
    </row>
    <row r="3746">
      <c r="L3746" s="30" t="n"/>
    </row>
    <row r="3747">
      <c r="L3747" s="30" t="n"/>
    </row>
    <row r="3748">
      <c r="L3748" s="30" t="n"/>
    </row>
    <row r="3749">
      <c r="L3749" s="30" t="n"/>
    </row>
    <row r="3750">
      <c r="L3750" s="30" t="n"/>
    </row>
    <row r="3751">
      <c r="L3751" s="30" t="n"/>
    </row>
    <row r="3752">
      <c r="L3752" s="30" t="n"/>
    </row>
    <row r="3753">
      <c r="L3753" s="30" t="n"/>
    </row>
    <row r="3754">
      <c r="L3754" s="30" t="n"/>
    </row>
    <row r="3755">
      <c r="L3755" s="30" t="n"/>
    </row>
    <row r="3756">
      <c r="L3756" s="30" t="n"/>
    </row>
    <row r="3757">
      <c r="L3757" s="30" t="n"/>
    </row>
    <row r="3758">
      <c r="L3758" s="30" t="n"/>
    </row>
    <row r="3759">
      <c r="L3759" s="30" t="n"/>
    </row>
    <row r="3760">
      <c r="L3760" s="30" t="n"/>
    </row>
    <row r="3761">
      <c r="L3761" s="30" t="n"/>
    </row>
  </sheetData>
  <dataValidations count="1">
    <dataValidation sqref="U2:U501" showDropDown="0" showInputMessage="1" showErrorMessage="1" allowBlank="1" type="list">
      <formula1>$AZ$2:$AZ$5</formula1>
    </dataValidation>
  </dataValidations>
  <pageMargins left="0.75" right="0.75" top="1" bottom="1" header="0.5" footer="0.5"/>
  <pageSetup orientation="portrait"/>
  <legacyDrawing xmlns:r="http://schemas.openxmlformats.org/officeDocument/2006/relationships" r:id="anysvml"/>
</worksheet>
</file>

<file path=xl/worksheets/sheet5.xml><?xml version="1.0" encoding="utf-8"?>
<worksheet xmlns="http://schemas.openxmlformats.org/spreadsheetml/2006/main">
  <sheetPr codeName="Sheet23">
    <outlinePr summaryBelow="1" summaryRight="1"/>
    <pageSetUpPr/>
  </sheetPr>
  <dimension ref="A1:P3"/>
  <sheetViews>
    <sheetView workbookViewId="0">
      <selection activeCell="A13" sqref="A13"/>
    </sheetView>
  </sheetViews>
  <sheetFormatPr baseColWidth="8" defaultColWidth="9.1640625" defaultRowHeight="14.1"/>
  <cols>
    <col width="46" customWidth="1" style="30" min="1" max="1"/>
    <col width="9.1640625" customWidth="1" style="80" min="2" max="16384"/>
  </cols>
  <sheetData>
    <row r="1">
      <c r="A1" s="69" t="inlineStr">
        <is>
          <t>Loop List</t>
        </is>
      </c>
      <c r="P1" s="80" t="inlineStr">
        <is>
          <t>Current Report ID</t>
        </is>
      </c>
    </row>
    <row r="2">
      <c r="A2" s="30" t="inlineStr">
        <is>
          <t>A</t>
        </is>
      </c>
      <c r="P2" s="80">
        <f>'Current Parameters'!A11</f>
        <v/>
      </c>
    </row>
    <row r="3">
      <c r="A3" s="30" t="inlineStr">
        <is>
          <t>B</t>
        </is>
      </c>
    </row>
  </sheetData>
  <pageMargins left="0.7" right="0.7" top="0.75" bottom="0.75" header="0.3" footer="0.3"/>
  <pageSetup orientation="portrait" paperSize="0" horizontalDpi="0" verticalDpi="0" copies="0"/>
</worksheet>
</file>

<file path=xl/worksheets/sheet6.xml><?xml version="1.0" encoding="utf-8"?>
<worksheet xmlns="http://schemas.openxmlformats.org/spreadsheetml/2006/main">
  <sheetPr codeName="Sheet10">
    <outlinePr summaryBelow="1" summaryRight="1"/>
    <pageSetUpPr/>
  </sheetPr>
  <dimension ref="A2:Q87"/>
  <sheetViews>
    <sheetView zoomScale="85" zoomScaleNormal="85" workbookViewId="0">
      <selection activeCell="A3" sqref="A3"/>
    </sheetView>
  </sheetViews>
  <sheetFormatPr baseColWidth="8" defaultColWidth="9.1640625" defaultRowHeight="14.1"/>
  <cols>
    <col width="18.109375" customWidth="1" style="12" min="1" max="1"/>
    <col width="16.44140625" bestFit="1" customWidth="1" style="12" min="2" max="2"/>
    <col width="9.1640625" customWidth="1" style="12" min="3" max="3"/>
    <col width="26.5546875" customWidth="1" style="12" min="4" max="4"/>
    <col width="11.1640625" bestFit="1" customWidth="1" style="12" min="5" max="5"/>
    <col width="12.5546875" customWidth="1" style="12" min="6" max="6"/>
    <col width="1.71875" customWidth="1" style="12" min="7" max="7"/>
    <col width="15.1640625" bestFit="1" customWidth="1" style="12" min="8" max="8"/>
    <col width="14.1640625" bestFit="1" customWidth="1" style="12" min="9" max="9"/>
    <col width="6.83203125" customWidth="1" style="12" min="10" max="10"/>
    <col width="9.1640625" customWidth="1" style="12" min="11" max="16384"/>
  </cols>
  <sheetData>
    <row r="1" ht="14.4" customHeight="1" thickBot="1"/>
    <row r="2" ht="14.4" customHeight="1" thickBot="1">
      <c r="B2" s="162" t="inlineStr">
        <is>
          <t>Finding Range For chart</t>
        </is>
      </c>
      <c r="C2" s="176" t="n"/>
      <c r="D2" s="176" t="n"/>
      <c r="E2" s="176" t="n"/>
      <c r="F2" s="177" t="n"/>
      <c r="H2" s="165" t="inlineStr">
        <is>
          <t>Sheet Space</t>
        </is>
      </c>
      <c r="I2" s="177" t="n"/>
      <c r="K2" s="167" t="inlineStr">
        <is>
          <t>While not required, this sheet is set up to determine the range of the tables and figures.  The theme to the table and figure sheets is to "overestimate the number of  rows/columns for a table, then place "xx" programmatically in unused cells.  Without the use of this sheet, the automatic reloading of charts with the correct range will not work.</t>
        </is>
      </c>
    </row>
    <row r="3" ht="14.4" customHeight="1" thickBot="1">
      <c r="A3" s="137" t="inlineStr">
        <is>
          <t>ID</t>
        </is>
      </c>
      <c r="B3" s="13" t="inlineStr">
        <is>
          <t>Tab</t>
        </is>
      </c>
      <c r="C3" s="163" t="inlineStr">
        <is>
          <t>No. Cols</t>
        </is>
      </c>
      <c r="D3" s="163" t="inlineStr">
        <is>
          <t>No. Rows (Incl. Label Row)</t>
        </is>
      </c>
      <c r="E3" s="14" t="inlineStr">
        <is>
          <t>Stop @ Col</t>
        </is>
      </c>
      <c r="F3" s="15" t="inlineStr">
        <is>
          <t>Range</t>
        </is>
      </c>
      <c r="H3" s="16" t="inlineStr">
        <is>
          <t>Not Range Row</t>
        </is>
      </c>
      <c r="I3" s="17" t="inlineStr">
        <is>
          <t>Not Range Col</t>
        </is>
      </c>
    </row>
    <row r="4">
      <c r="A4" s="143">
        <f>'Report Numbers'!N2</f>
        <v/>
      </c>
      <c r="B4" s="138" t="inlineStr">
        <is>
          <t>Table 1</t>
        </is>
      </c>
      <c r="C4" s="4" t="n">
        <v>2</v>
      </c>
      <c r="D4" s="4">
        <f>((COUNTA('Table 1'!$A$2:$A$10)+1)-H4)</f>
        <v/>
      </c>
      <c r="E4" s="20">
        <f>LOOKUP(C4,D$62:D$87,C$62:C$87)</f>
        <v/>
      </c>
      <c r="F4" s="21">
        <f>CONCATENATE("A1",":",E4,D4)</f>
        <v/>
      </c>
      <c r="H4" s="22">
        <f>COUNTIF('Table 1'!$A$2:$A$10,"xx")</f>
        <v/>
      </c>
      <c r="I4" s="23" t="n"/>
    </row>
    <row r="5">
      <c r="A5" s="50">
        <f>'Report Numbers'!G2</f>
        <v/>
      </c>
      <c r="B5" s="139" t="inlineStr">
        <is>
          <t>Figure 1</t>
        </is>
      </c>
      <c r="C5" s="5" t="n">
        <v>2</v>
      </c>
      <c r="D5" s="4">
        <f>((COUNTA('Figure 1'!A2:A10)+1)-H5)</f>
        <v/>
      </c>
      <c r="E5" s="26">
        <f>LOOKUP(C5,D$62:D$87,C$62:C$87)</f>
        <v/>
      </c>
      <c r="F5" s="27">
        <f>CONCATENATE("A2",":",E5,D5)</f>
        <v/>
      </c>
      <c r="H5" s="22">
        <f>COUNTIF('Figure 1'!B2:B10,"xx")</f>
        <v/>
      </c>
      <c r="I5" s="29" t="n"/>
    </row>
    <row r="6">
      <c r="A6" s="50">
        <f>'Report Numbers'!G3</f>
        <v/>
      </c>
      <c r="B6" s="139" t="inlineStr">
        <is>
          <t>Figure 2</t>
        </is>
      </c>
      <c r="C6" s="5" t="n">
        <v>2</v>
      </c>
      <c r="D6" s="4">
        <f>((COUNTA('Figure 2'!A2:A10)+1)-H6)</f>
        <v/>
      </c>
      <c r="E6" s="26">
        <f>LOOKUP(C6,D$62:D$87,C$62:C$87)</f>
        <v/>
      </c>
      <c r="F6" s="27">
        <f>CONCATENATE("A2",":",E6,D6)</f>
        <v/>
      </c>
      <c r="H6" s="22">
        <f>COUNTIF('Figure 2'!B2:B10,"xx")</f>
        <v/>
      </c>
      <c r="I6" s="29" t="n"/>
    </row>
    <row r="7">
      <c r="A7" s="50">
        <f>'Report Numbers'!N3</f>
        <v/>
      </c>
      <c r="B7" s="139" t="inlineStr">
        <is>
          <t>Bullet 1</t>
        </is>
      </c>
      <c r="C7" s="5" t="n">
        <v>2</v>
      </c>
      <c r="D7" s="5">
        <f>((COUNTA('Bullet 1'!A2:A10)+1)-H6)</f>
        <v/>
      </c>
      <c r="E7" s="26" t="inlineStr">
        <is>
          <t>B</t>
        </is>
      </c>
      <c r="F7" s="27">
        <f>CONCATENATE("A2",":",E7,D7)</f>
        <v/>
      </c>
      <c r="H7" s="28">
        <f>COUNTIF('Bullet 1'!B2:B10,"xx")</f>
        <v/>
      </c>
      <c r="I7" s="29" t="n"/>
    </row>
    <row r="8">
      <c r="A8" s="50">
        <f>'Report Numbers'!N4</f>
        <v/>
      </c>
      <c r="B8" s="139" t="inlineStr">
        <is>
          <t>Table 2</t>
        </is>
      </c>
      <c r="C8" s="5" t="n">
        <v>2</v>
      </c>
      <c r="D8" s="5">
        <f>((COUNTA('Table 2'!$A$2:$A$10)+1)-H4)</f>
        <v/>
      </c>
      <c r="E8" s="26" t="inlineStr">
        <is>
          <t>B</t>
        </is>
      </c>
      <c r="F8" s="21">
        <f>CONCATENATE("A2",":",E8,D8)</f>
        <v/>
      </c>
      <c r="H8" s="22">
        <f>COUNTIF('Table 1'!$A$2:$A$10,"xx")</f>
        <v/>
      </c>
      <c r="I8" s="29" t="n"/>
    </row>
    <row r="9">
      <c r="A9" s="50">
        <f>'Report Numbers'!N5</f>
        <v/>
      </c>
      <c r="B9" s="139" t="inlineStr">
        <is>
          <t>Table 3</t>
        </is>
      </c>
      <c r="C9" s="5" t="n">
        <v>4</v>
      </c>
      <c r="D9" s="5" t="n">
        <v>4</v>
      </c>
      <c r="E9" s="26" t="inlineStr">
        <is>
          <t>D</t>
        </is>
      </c>
      <c r="F9" s="27" t="inlineStr">
        <is>
          <t>A1:D4</t>
        </is>
      </c>
      <c r="H9" s="28">
        <f>COUNTIF('Table 3'!$A$2:$A$10,"xx")</f>
        <v/>
      </c>
      <c r="I9" s="29" t="n"/>
    </row>
    <row r="10">
      <c r="A10" s="50" t="n"/>
      <c r="B10" s="139" t="n"/>
      <c r="C10" s="146" t="n"/>
      <c r="D10" s="5" t="n"/>
      <c r="E10" s="26" t="n"/>
      <c r="F10" s="27" t="n"/>
      <c r="H10" s="28" t="n"/>
      <c r="I10" s="29" t="n"/>
    </row>
    <row r="11">
      <c r="A11" s="50" t="n"/>
      <c r="B11" s="139" t="n"/>
      <c r="C11" s="5" t="n"/>
      <c r="D11" s="5" t="n"/>
      <c r="E11" s="26" t="n"/>
      <c r="F11" s="27" t="n"/>
      <c r="H11" s="28" t="n"/>
      <c r="I11" s="29" t="n"/>
    </row>
    <row r="12">
      <c r="A12" s="144" t="n"/>
      <c r="B12" s="139" t="n"/>
      <c r="C12" s="5" t="n"/>
      <c r="D12" s="5" t="n"/>
      <c r="E12" s="26" t="n"/>
      <c r="F12" s="27" t="n"/>
      <c r="H12" s="28" t="n"/>
      <c r="I12" s="29" t="n"/>
    </row>
    <row r="13">
      <c r="A13" s="50" t="n"/>
      <c r="B13" s="139" t="n"/>
      <c r="C13" s="5" t="n"/>
      <c r="D13" s="5" t="n"/>
      <c r="E13" s="26" t="n"/>
      <c r="F13" s="27" t="n"/>
      <c r="H13" s="28" t="n"/>
      <c r="I13" s="29" t="n"/>
    </row>
    <row r="14">
      <c r="A14" s="50" t="n"/>
      <c r="B14" s="140" t="n"/>
      <c r="C14" s="5" t="n"/>
      <c r="D14" s="5" t="n"/>
      <c r="E14" s="26" t="n"/>
      <c r="F14" s="27" t="n"/>
      <c r="H14" s="28" t="n"/>
      <c r="I14" s="29" t="n"/>
    </row>
    <row r="15">
      <c r="A15" s="50" t="n"/>
      <c r="B15" s="140" t="n"/>
      <c r="C15" s="5" t="n"/>
      <c r="D15" s="5" t="n"/>
      <c r="E15" s="26" t="n"/>
      <c r="F15" s="27" t="n"/>
      <c r="H15" s="28" t="n"/>
      <c r="I15" s="29" t="n"/>
    </row>
    <row r="16">
      <c r="A16" s="50" t="n"/>
      <c r="B16" s="140" t="n"/>
      <c r="C16" s="5" t="n"/>
      <c r="D16" s="5" t="n"/>
      <c r="E16" s="26" t="n"/>
      <c r="F16" s="27" t="n"/>
      <c r="H16" s="28" t="n"/>
      <c r="I16" s="29" t="n"/>
    </row>
    <row r="17">
      <c r="A17" s="50" t="n"/>
      <c r="B17" s="140" t="n"/>
      <c r="C17" s="5" t="n"/>
      <c r="D17" s="5" t="n"/>
      <c r="E17" s="26" t="n"/>
      <c r="F17" s="27" t="n"/>
      <c r="H17" s="28" t="n"/>
      <c r="I17" s="29" t="n"/>
    </row>
    <row r="18">
      <c r="A18" s="50" t="n"/>
      <c r="B18" s="140" t="n"/>
      <c r="C18" s="5" t="n"/>
      <c r="D18" s="5" t="n"/>
      <c r="E18" s="26" t="n"/>
      <c r="F18" s="27" t="n"/>
      <c r="H18" s="28" t="n"/>
      <c r="I18" s="29" t="n"/>
    </row>
    <row r="19">
      <c r="A19" s="50" t="n"/>
      <c r="B19" s="140" t="n"/>
      <c r="C19" s="5" t="n"/>
      <c r="D19" s="5" t="n"/>
      <c r="E19" s="26" t="n"/>
      <c r="F19" s="27" t="n"/>
      <c r="H19" s="28" t="n"/>
      <c r="I19" s="29" t="n"/>
    </row>
    <row r="20">
      <c r="A20" s="50" t="n"/>
      <c r="B20" s="140" t="n"/>
      <c r="C20" s="5" t="n"/>
      <c r="D20" s="5" t="n"/>
      <c r="E20" s="26" t="n"/>
      <c r="F20" s="27" t="n"/>
      <c r="H20" s="28" t="n"/>
      <c r="I20" s="29" t="n"/>
    </row>
    <row r="21">
      <c r="A21" s="50" t="n"/>
      <c r="B21" s="140" t="n"/>
      <c r="C21" s="31" t="n"/>
      <c r="D21" s="31" t="n"/>
      <c r="E21" s="31" t="n"/>
      <c r="F21" s="29" t="n"/>
      <c r="H21" s="28" t="n"/>
      <c r="I21" s="29" t="n"/>
    </row>
    <row r="22">
      <c r="A22" s="50" t="n"/>
      <c r="B22" s="140" t="n"/>
      <c r="C22" s="31" t="n"/>
      <c r="D22" s="31" t="n"/>
      <c r="E22" s="31" t="n"/>
      <c r="F22" s="29" t="n"/>
      <c r="H22" s="28" t="n"/>
      <c r="I22" s="29" t="n"/>
    </row>
    <row r="23">
      <c r="A23" s="50" t="n"/>
      <c r="B23" s="140" t="n"/>
      <c r="C23" s="31" t="n"/>
      <c r="D23" s="31" t="n"/>
      <c r="E23" s="31" t="n"/>
      <c r="F23" s="29" t="n"/>
      <c r="H23" s="28" t="n"/>
      <c r="I23" s="29" t="n"/>
    </row>
    <row r="24">
      <c r="A24" s="50" t="n"/>
      <c r="B24" s="141" t="n"/>
      <c r="C24" s="30" t="n"/>
      <c r="D24" s="30" t="n"/>
      <c r="E24" s="30" t="n"/>
      <c r="F24" s="51" t="n"/>
      <c r="H24" s="50" t="n"/>
      <c r="I24" s="29" t="n"/>
    </row>
    <row r="25">
      <c r="A25" s="50" t="n"/>
      <c r="B25" s="141" t="n"/>
      <c r="C25" s="5" t="n"/>
      <c r="D25" s="30" t="n"/>
      <c r="E25" s="30" t="n"/>
      <c r="F25" s="51" t="n"/>
      <c r="H25" s="50" t="n"/>
      <c r="I25" s="29" t="n"/>
    </row>
    <row r="26">
      <c r="A26" s="50" t="n"/>
      <c r="B26" s="141" t="n"/>
      <c r="C26" s="5" t="n"/>
      <c r="D26" s="30" t="n"/>
      <c r="E26" s="30" t="n"/>
      <c r="F26" s="51" t="n"/>
      <c r="H26" s="50" t="n"/>
      <c r="I26" s="29" t="n"/>
    </row>
    <row r="27">
      <c r="A27" s="50" t="n"/>
      <c r="B27" s="140" t="n"/>
      <c r="C27" s="31" t="n"/>
      <c r="D27" s="31" t="n"/>
      <c r="E27" s="31" t="n"/>
      <c r="F27" s="29" t="n"/>
      <c r="H27" s="28" t="n"/>
      <c r="I27" s="29" t="n"/>
    </row>
    <row r="28">
      <c r="A28" s="50" t="n"/>
      <c r="B28" s="140" t="n"/>
      <c r="C28" s="31" t="n"/>
      <c r="D28" s="31" t="n"/>
      <c r="E28" s="31" t="n"/>
      <c r="F28" s="29" t="n"/>
      <c r="H28" s="28" t="n"/>
      <c r="I28" s="29" t="n"/>
    </row>
    <row r="29">
      <c r="A29" s="50" t="n"/>
      <c r="B29" s="140" t="n"/>
      <c r="C29" s="5" t="n"/>
      <c r="D29" s="31" t="n"/>
      <c r="E29" s="26" t="n"/>
      <c r="F29" s="27" t="n"/>
      <c r="H29" s="22" t="n"/>
      <c r="I29" s="29" t="n"/>
    </row>
    <row r="30">
      <c r="A30" s="50" t="n"/>
      <c r="B30" s="140" t="n"/>
      <c r="C30" s="5" t="n"/>
      <c r="D30" s="31" t="n"/>
      <c r="E30" s="26" t="n"/>
      <c r="F30" s="27" t="n"/>
      <c r="H30" s="22" t="n"/>
      <c r="I30" s="29" t="n"/>
    </row>
    <row r="31">
      <c r="A31" s="50" t="n"/>
      <c r="B31" s="140" t="n"/>
      <c r="C31" s="5" t="n"/>
      <c r="D31" s="31" t="n"/>
      <c r="E31" s="26" t="n"/>
      <c r="F31" s="27" t="n"/>
      <c r="H31" s="22" t="n"/>
      <c r="I31" s="29" t="n"/>
    </row>
    <row r="32">
      <c r="A32" s="50" t="n"/>
      <c r="B32" s="140" t="n"/>
      <c r="C32" s="5" t="n"/>
      <c r="D32" s="31" t="n"/>
      <c r="E32" s="31" t="n"/>
      <c r="F32" s="29" t="n"/>
      <c r="H32" s="28" t="n"/>
      <c r="I32" s="29" t="n"/>
    </row>
    <row r="33">
      <c r="A33" s="50" t="n"/>
      <c r="B33" s="140" t="n"/>
      <c r="C33" s="31" t="n"/>
      <c r="D33" s="31" t="n"/>
      <c r="E33" s="31" t="n"/>
      <c r="F33" s="29" t="n"/>
      <c r="H33" s="28" t="n"/>
      <c r="I33" s="29" t="n"/>
    </row>
    <row r="34">
      <c r="A34" s="50" t="n"/>
      <c r="B34" s="140" t="n"/>
      <c r="C34" s="31" t="n"/>
      <c r="D34" s="31" t="n"/>
      <c r="E34" s="31" t="n"/>
      <c r="F34" s="29" t="n"/>
      <c r="H34" s="28" t="n"/>
      <c r="I34" s="29" t="n"/>
    </row>
    <row r="35">
      <c r="A35" s="50" t="n"/>
      <c r="B35" s="140" t="n"/>
      <c r="C35" s="31" t="n"/>
      <c r="D35" s="31" t="n"/>
      <c r="E35" s="31" t="n"/>
      <c r="F35" s="29" t="n"/>
      <c r="H35" s="28" t="n"/>
      <c r="I35" s="29" t="n"/>
    </row>
    <row r="36">
      <c r="A36" s="50" t="n"/>
      <c r="B36" s="140" t="n"/>
      <c r="C36" s="31" t="n"/>
      <c r="D36" s="31" t="n"/>
      <c r="E36" s="31" t="n"/>
      <c r="F36" s="29" t="n"/>
      <c r="H36" s="28" t="n"/>
      <c r="I36" s="29" t="n"/>
    </row>
    <row r="37">
      <c r="A37" s="50" t="n"/>
      <c r="B37" s="140" t="n"/>
      <c r="C37" s="31" t="n"/>
      <c r="D37" s="31" t="n"/>
      <c r="E37" s="31" t="n"/>
      <c r="F37" s="29" t="n"/>
      <c r="H37" s="28" t="n"/>
      <c r="I37" s="29" t="n"/>
    </row>
    <row r="38" ht="14.4" customHeight="1" thickBot="1">
      <c r="A38" s="145" t="n"/>
      <c r="B38" s="142" t="n"/>
      <c r="C38" s="33" t="n"/>
      <c r="D38" s="33" t="n"/>
      <c r="E38" s="33" t="n"/>
      <c r="F38" s="34" t="n"/>
      <c r="H38" s="32" t="n"/>
      <c r="I38" s="34" t="n"/>
    </row>
    <row r="62">
      <c r="C62" s="35" t="inlineStr">
        <is>
          <t>A</t>
        </is>
      </c>
      <c r="D62" s="35" t="n">
        <v>1</v>
      </c>
    </row>
    <row r="63">
      <c r="C63" s="35" t="inlineStr">
        <is>
          <t>B</t>
        </is>
      </c>
      <c r="D63" s="35" t="n">
        <v>2</v>
      </c>
    </row>
    <row r="64">
      <c r="C64" s="35" t="inlineStr">
        <is>
          <t>C</t>
        </is>
      </c>
      <c r="D64" s="35" t="n">
        <v>3</v>
      </c>
    </row>
    <row r="65">
      <c r="C65" s="35" t="inlineStr">
        <is>
          <t>D</t>
        </is>
      </c>
      <c r="D65" s="35" t="n">
        <v>4</v>
      </c>
    </row>
    <row r="66">
      <c r="C66" s="35" t="inlineStr">
        <is>
          <t>E</t>
        </is>
      </c>
      <c r="D66" s="35" t="n">
        <v>5</v>
      </c>
    </row>
    <row r="67">
      <c r="C67" s="35" t="inlineStr">
        <is>
          <t>F</t>
        </is>
      </c>
      <c r="D67" s="35" t="n">
        <v>6</v>
      </c>
    </row>
    <row r="68">
      <c r="C68" s="35" t="inlineStr">
        <is>
          <t>G</t>
        </is>
      </c>
      <c r="D68" s="35" t="n">
        <v>7</v>
      </c>
    </row>
    <row r="69">
      <c r="C69" s="35" t="inlineStr">
        <is>
          <t>H</t>
        </is>
      </c>
      <c r="D69" s="35" t="n">
        <v>8</v>
      </c>
    </row>
    <row r="70">
      <c r="C70" s="35" t="inlineStr">
        <is>
          <t>I</t>
        </is>
      </c>
      <c r="D70" s="35" t="n">
        <v>9</v>
      </c>
    </row>
    <row r="71">
      <c r="C71" s="35" t="inlineStr">
        <is>
          <t>J</t>
        </is>
      </c>
      <c r="D71" s="35" t="n">
        <v>10</v>
      </c>
    </row>
    <row r="72">
      <c r="C72" s="35" t="inlineStr">
        <is>
          <t>K</t>
        </is>
      </c>
      <c r="D72" s="35" t="n">
        <v>11</v>
      </c>
    </row>
    <row r="73">
      <c r="C73" s="35" t="inlineStr">
        <is>
          <t>L</t>
        </is>
      </c>
      <c r="D73" s="35" t="n">
        <v>12</v>
      </c>
    </row>
    <row r="74">
      <c r="C74" s="35" t="inlineStr">
        <is>
          <t>M</t>
        </is>
      </c>
      <c r="D74" s="35" t="n">
        <v>13</v>
      </c>
    </row>
    <row r="75">
      <c r="C75" s="35" t="inlineStr">
        <is>
          <t>N</t>
        </is>
      </c>
      <c r="D75" s="35" t="n">
        <v>14</v>
      </c>
    </row>
    <row r="76">
      <c r="C76" s="35" t="inlineStr">
        <is>
          <t>O</t>
        </is>
      </c>
      <c r="D76" s="35" t="n">
        <v>15</v>
      </c>
    </row>
    <row r="77">
      <c r="C77" s="35" t="inlineStr">
        <is>
          <t>P</t>
        </is>
      </c>
      <c r="D77" s="35" t="n">
        <v>16</v>
      </c>
    </row>
    <row r="78">
      <c r="C78" s="35" t="inlineStr">
        <is>
          <t>Q</t>
        </is>
      </c>
      <c r="D78" s="35" t="n">
        <v>17</v>
      </c>
    </row>
    <row r="79">
      <c r="C79" s="35" t="inlineStr">
        <is>
          <t>R</t>
        </is>
      </c>
      <c r="D79" s="35" t="n">
        <v>18</v>
      </c>
    </row>
    <row r="80">
      <c r="C80" s="35" t="inlineStr">
        <is>
          <t>S</t>
        </is>
      </c>
      <c r="D80" s="35" t="n">
        <v>19</v>
      </c>
    </row>
    <row r="81">
      <c r="C81" s="35" t="inlineStr">
        <is>
          <t>T</t>
        </is>
      </c>
      <c r="D81" s="35" t="n">
        <v>20</v>
      </c>
    </row>
    <row r="82">
      <c r="C82" s="35" t="inlineStr">
        <is>
          <t>U</t>
        </is>
      </c>
      <c r="D82" s="35" t="n">
        <v>21</v>
      </c>
    </row>
    <row r="83">
      <c r="C83" s="35" t="inlineStr">
        <is>
          <t>V</t>
        </is>
      </c>
      <c r="D83" s="35" t="n">
        <v>22</v>
      </c>
    </row>
    <row r="84">
      <c r="C84" s="35" t="inlineStr">
        <is>
          <t>W</t>
        </is>
      </c>
      <c r="D84" s="35" t="n">
        <v>23</v>
      </c>
    </row>
    <row r="85">
      <c r="C85" s="35" t="inlineStr">
        <is>
          <t>X</t>
        </is>
      </c>
      <c r="D85" s="35" t="n">
        <v>24</v>
      </c>
    </row>
    <row r="86">
      <c r="C86" s="35" t="inlineStr">
        <is>
          <t>Y</t>
        </is>
      </c>
      <c r="D86" s="35" t="n">
        <v>25</v>
      </c>
    </row>
    <row r="87">
      <c r="C87" s="35" t="inlineStr">
        <is>
          <t>Z</t>
        </is>
      </c>
      <c r="D87" s="35" t="n">
        <v>26</v>
      </c>
    </row>
  </sheetData>
  <mergeCells count="3">
    <mergeCell ref="B2:F2"/>
    <mergeCell ref="H2:I2"/>
    <mergeCell ref="K2:Q6"/>
  </mergeCells>
  <pageMargins left="0.7" right="0.7" top="0.75" bottom="0.75" header="0.3" footer="0.3"/>
  <pageSetup orientation="portrait"/>
  <legacyDrawing xmlns:r="http://schemas.openxmlformats.org/officeDocument/2006/relationships" r:id="anysvml"/>
</worksheet>
</file>

<file path=xl/worksheets/sheet7.xml><?xml version="1.0" encoding="utf-8"?>
<worksheet xmlns="http://schemas.openxmlformats.org/spreadsheetml/2006/main">
  <sheetPr codeName="Sheet7">
    <outlinePr summaryBelow="1" summaryRight="1"/>
    <pageSetUpPr/>
  </sheetPr>
  <dimension ref="A1:F11"/>
  <sheetViews>
    <sheetView zoomScale="112" zoomScaleNormal="112" workbookViewId="0">
      <selection activeCell="A1" sqref="A1"/>
    </sheetView>
  </sheetViews>
  <sheetFormatPr baseColWidth="8" defaultColWidth="9.1640625" defaultRowHeight="14.1"/>
  <cols>
    <col width="9.44140625" bestFit="1" customWidth="1" style="133" min="1" max="1"/>
    <col width="20.1640625" bestFit="1" customWidth="1" style="114" min="2" max="2"/>
    <col width="32.38671875" customWidth="1" style="114" min="3" max="3"/>
    <col width="9.1640625" customWidth="1" style="114" min="4" max="16384"/>
  </cols>
  <sheetData>
    <row r="1" ht="53.25" customHeight="1">
      <c r="A1" s="129" t="inlineStr">
        <is>
          <t>Age</t>
        </is>
      </c>
      <c r="B1" s="134" t="inlineStr">
        <is>
          <t>Count</t>
        </is>
      </c>
      <c r="C1" s="114">
        <f>CONCATENATE(C2,C3,C4,C5,C6,C7,C8,C9,C10)</f>
        <v/>
      </c>
    </row>
    <row r="2">
      <c r="A2" s="130">
        <f>IF(E2="","xx",E2)</f>
        <v/>
      </c>
      <c r="B2" s="115">
        <f>IF(E2="","xx",F2)</f>
        <v/>
      </c>
      <c r="C2" s="10">
        <f>IF(A2 = "xx","","The count for age "&amp;A2&amp;" is "&amp;TEXT(B2,"0") &amp; ".  ")</f>
        <v/>
      </c>
      <c r="E2" s="116" t="inlineStr">
        <is>
          <t>22-30</t>
        </is>
      </c>
      <c r="F2" s="116" t="n">
        <v>1</v>
      </c>
    </row>
    <row r="3">
      <c r="A3" s="131">
        <f>IF(E3="","xx",E3)</f>
        <v/>
      </c>
      <c r="B3" s="117">
        <f>IF(E3="","xx",F3)</f>
        <v/>
      </c>
      <c r="C3" s="10">
        <f>IF(A3 = "xx","","The count for age "&amp;A3&amp;" is "&amp;TEXT(B3,"0") &amp; ".  ")</f>
        <v/>
      </c>
      <c r="E3" s="116" t="inlineStr">
        <is>
          <t>30-50</t>
        </is>
      </c>
      <c r="F3" s="116" t="n">
        <v>2</v>
      </c>
    </row>
    <row r="4">
      <c r="A4" s="131">
        <f>IF(E4="","xx",E4)</f>
        <v/>
      </c>
      <c r="B4" s="117">
        <f>IF(E4="","xx",F4)</f>
        <v/>
      </c>
      <c r="C4" s="10">
        <f>IF(A4 = "xx","","The count for age "&amp;A4&amp;" is "&amp;TEXT(B4,"0") &amp; ".  ")</f>
        <v/>
      </c>
      <c r="E4" s="116" t="inlineStr">
        <is>
          <t>51+</t>
        </is>
      </c>
      <c r="F4" s="116" t="n">
        <v>0</v>
      </c>
    </row>
    <row r="5">
      <c r="A5" s="131">
        <f>IF(E5="","xx",E5)</f>
        <v/>
      </c>
      <c r="B5" s="117">
        <f>IF(E5="","xx",F5)</f>
        <v/>
      </c>
      <c r="C5" s="10">
        <f>IF(A5 = "xx","","The count for age "&amp;A5&amp;" is "&amp;TEXT(B5,"0") &amp; ".  ")</f>
        <v/>
      </c>
      <c r="E5" s="116" t="n"/>
      <c r="F5" s="116" t="n"/>
    </row>
    <row r="6">
      <c r="A6" s="131">
        <f>IF(E6="","xx",E6)</f>
        <v/>
      </c>
      <c r="B6" s="117">
        <f>IF(E6="","xx",F6)</f>
        <v/>
      </c>
      <c r="C6" s="10">
        <f>IF(A6 = "xx","","The count for age "&amp;A6&amp;" is "&amp;TEXT(B6,"0") &amp; ".  ")</f>
        <v/>
      </c>
    </row>
    <row r="7">
      <c r="A7" s="131">
        <f>IF(E7="","xx",E7)</f>
        <v/>
      </c>
      <c r="B7" s="117">
        <f>IF(E7="","xx",F7)</f>
        <v/>
      </c>
      <c r="C7" s="10">
        <f>IF(A7 = "xx","","The count for age "&amp;A7&amp;" is "&amp;TEXT(B7,"0") &amp; ".  ")</f>
        <v/>
      </c>
    </row>
    <row r="8">
      <c r="A8" s="131">
        <f>IF(E8="","xx",E8)</f>
        <v/>
      </c>
      <c r="B8" s="117">
        <f>IF(E8="","xx",F8)</f>
        <v/>
      </c>
      <c r="C8" s="10">
        <f>IF(A8 = "xx","","The count for age "&amp;A8&amp;" is "&amp;TEXT(B8,"0") &amp; ".  ")</f>
        <v/>
      </c>
    </row>
    <row r="9">
      <c r="A9" s="131">
        <f>IF(E9="","xx",E9)</f>
        <v/>
      </c>
      <c r="B9" s="117">
        <f>IF(E9="","xx",F9)</f>
        <v/>
      </c>
      <c r="C9" s="10">
        <f>IF(A9 = "xx","","The count for age "&amp;A9&amp;" is "&amp;TEXT(B9,"0") &amp; ".  ")</f>
        <v/>
      </c>
    </row>
    <row r="10">
      <c r="A10" s="131">
        <f>IF(E10="","xx",E10)</f>
        <v/>
      </c>
      <c r="B10" s="117">
        <f>IF(E10="","xx",F10)</f>
        <v/>
      </c>
      <c r="C10" s="10">
        <f>IF(A10 = "xx","","The count for age "&amp;A10&amp;" is "&amp;TEXT(B10,"0") &amp; ".  ")</f>
        <v/>
      </c>
    </row>
    <row r="11">
      <c r="A11" s="132" t="n"/>
    </row>
  </sheetData>
  <pageMargins left="0.7" right="0.7" top="0.75" bottom="0.75" header="0.3" footer="0.3"/>
  <pageSetup orientation="portrait" horizontalDpi="0" verticalDpi="0"/>
</worksheet>
</file>

<file path=xl/worksheets/sheet8.xml><?xml version="1.0" encoding="utf-8"?>
<worksheet xmlns="http://schemas.openxmlformats.org/spreadsheetml/2006/main">
  <sheetPr codeName="Sheet8">
    <outlinePr summaryBelow="1" summaryRight="1"/>
    <pageSetUpPr/>
  </sheetPr>
  <dimension ref="A1:F11"/>
  <sheetViews>
    <sheetView workbookViewId="0">
      <selection activeCell="B2" sqref="B2"/>
    </sheetView>
  </sheetViews>
  <sheetFormatPr baseColWidth="8" defaultColWidth="9.1640625" defaultRowHeight="14.1"/>
  <cols>
    <col width="9.44140625" bestFit="1" customWidth="1" style="10" min="1" max="1"/>
    <col width="20.1640625" bestFit="1" customWidth="1" style="10" min="2" max="2"/>
    <col width="12" bestFit="1" customWidth="1" style="10" min="3" max="3"/>
    <col width="9.1640625" customWidth="1" style="10" min="4" max="16384"/>
  </cols>
  <sheetData>
    <row r="1" ht="53.25" customHeight="1">
      <c r="A1" s="66" t="inlineStr">
        <is>
          <t>Age</t>
        </is>
      </c>
      <c r="B1" s="67" t="inlineStr">
        <is>
          <t>Count</t>
        </is>
      </c>
      <c r="D1" s="10" t="inlineStr">
        <is>
          <t>Note: Just a copy of Table 1 for Ultimate Table Maker Demo</t>
        </is>
      </c>
    </row>
    <row r="2">
      <c r="A2" s="106">
        <f>'Table 1'!A2</f>
        <v/>
      </c>
      <c r="B2" s="63">
        <f>'Table 1'!B2</f>
        <v/>
      </c>
      <c r="C2" s="11" t="n"/>
      <c r="E2" s="2" t="n"/>
      <c r="F2" s="2" t="n"/>
    </row>
    <row r="3">
      <c r="A3" s="106">
        <f>'Table 1'!A3</f>
        <v/>
      </c>
      <c r="B3" s="63">
        <f>'Table 1'!B3</f>
        <v/>
      </c>
      <c r="C3" s="11" t="n"/>
      <c r="E3" s="2" t="n"/>
      <c r="F3" s="2" t="n"/>
    </row>
    <row r="4">
      <c r="A4" s="106">
        <f>'Table 1'!A4</f>
        <v/>
      </c>
      <c r="B4" s="63">
        <f>'Table 1'!B4</f>
        <v/>
      </c>
      <c r="C4" s="11" t="n"/>
      <c r="E4" s="2" t="n"/>
      <c r="F4" s="2" t="n"/>
    </row>
    <row r="5">
      <c r="A5" s="106">
        <f>'Table 1'!A5</f>
        <v/>
      </c>
      <c r="B5" s="63">
        <f>'Table 1'!B5</f>
        <v/>
      </c>
      <c r="C5" s="11" t="n"/>
      <c r="E5" s="2" t="n"/>
      <c r="F5" s="2" t="n"/>
    </row>
    <row r="6">
      <c r="A6" s="106">
        <f>'Table 1'!A6</f>
        <v/>
      </c>
      <c r="B6" s="63">
        <f>'Table 1'!B6</f>
        <v/>
      </c>
    </row>
    <row r="7">
      <c r="A7" s="106">
        <f>'Table 1'!A7</f>
        <v/>
      </c>
      <c r="B7" s="63">
        <f>'Table 1'!B7</f>
        <v/>
      </c>
    </row>
    <row r="8">
      <c r="A8" s="106">
        <f>'Table 1'!A8</f>
        <v/>
      </c>
      <c r="B8" s="63">
        <f>'Table 1'!B8</f>
        <v/>
      </c>
    </row>
    <row r="9">
      <c r="A9" s="106">
        <f>'Table 1'!A9</f>
        <v/>
      </c>
      <c r="B9" s="63">
        <f>'Table 1'!B9</f>
        <v/>
      </c>
    </row>
    <row r="10">
      <c r="A10" s="106">
        <f>'Table 1'!A10</f>
        <v/>
      </c>
      <c r="B10" s="63">
        <f>'Table 1'!B10</f>
        <v/>
      </c>
    </row>
    <row r="11">
      <c r="A11" s="45" t="n"/>
    </row>
  </sheetData>
  <pageMargins left="0.7" right="0.7" top="0.75" bottom="0.75" header="0.3" footer="0.3"/>
  <pageSetup orientation="portrait"/>
</worksheet>
</file>

<file path=xl/worksheets/sheet9.xml><?xml version="1.0" encoding="utf-8"?>
<worksheet xmlns="http://schemas.openxmlformats.org/spreadsheetml/2006/main">
  <sheetPr codeName="Sheet12">
    <outlinePr summaryBelow="1" summaryRight="1"/>
    <pageSetUpPr/>
  </sheetPr>
  <dimension ref="A1:H12"/>
  <sheetViews>
    <sheetView workbookViewId="0">
      <selection activeCell="H16" sqref="H16"/>
    </sheetView>
  </sheetViews>
  <sheetFormatPr baseColWidth="8" defaultColWidth="9.1640625" defaultRowHeight="14.1"/>
  <cols>
    <col width="9.1640625" customWidth="1" style="10" min="1" max="1"/>
    <col width="9.44140625" bestFit="1" customWidth="1" style="10" min="2" max="2"/>
    <col width="20.1640625" bestFit="1" customWidth="1" style="10" min="3" max="3"/>
    <col width="12" bestFit="1" customWidth="1" style="10" min="4" max="4"/>
    <col width="9.1640625" customWidth="1" style="10" min="5" max="16384"/>
  </cols>
  <sheetData>
    <row r="1">
      <c r="A1" s="172" t="n"/>
      <c r="B1" s="178" t="n"/>
      <c r="C1" s="170" t="inlineStr">
        <is>
          <t>Statistics</t>
        </is>
      </c>
      <c r="D1" s="179" t="n"/>
    </row>
    <row r="2" ht="53.25" customHeight="1">
      <c r="A2" s="180" t="n"/>
      <c r="B2" s="181" t="n"/>
      <c r="C2" s="135" t="inlineStr">
        <is>
          <t>Count</t>
        </is>
      </c>
      <c r="D2" s="136" t="inlineStr">
        <is>
          <t>Percent</t>
        </is>
      </c>
    </row>
    <row r="3">
      <c r="A3" s="168" t="inlineStr">
        <is>
          <t>Gender</t>
        </is>
      </c>
      <c r="B3" s="128">
        <f>IF(F3="","xx",F3)</f>
        <v/>
      </c>
      <c r="C3" s="63">
        <f>IF(G3="","xx",G3)</f>
        <v/>
      </c>
      <c r="D3" s="126">
        <f>IF(H3="","xx",H3)</f>
        <v/>
      </c>
      <c r="F3" s="125">
        <f>'Figure 2'!E2</f>
        <v/>
      </c>
      <c r="G3" s="68">
        <f>'Figure 2'!F2</f>
        <v/>
      </c>
      <c r="H3" s="68">
        <f>'Figure 2'!G2</f>
        <v/>
      </c>
    </row>
    <row r="4">
      <c r="A4" s="182" t="n"/>
      <c r="B4" s="127">
        <f>IF(F4="","xx",F4)</f>
        <v/>
      </c>
      <c r="C4" s="63">
        <f>IF(G4="","xx",G4)</f>
        <v/>
      </c>
      <c r="D4" s="126">
        <f>IF(H4="","xx",H4)</f>
        <v/>
      </c>
      <c r="F4" s="68">
        <f>'Figure 2'!E3</f>
        <v/>
      </c>
      <c r="G4" s="68">
        <f>'Figure 2'!F3</f>
        <v/>
      </c>
      <c r="H4" s="68">
        <f>'Figure 2'!G3</f>
        <v/>
      </c>
    </row>
    <row r="5">
      <c r="B5" s="123" t="n"/>
      <c r="C5" s="123" t="n"/>
      <c r="D5" s="123" t="n"/>
      <c r="F5" s="2" t="n"/>
      <c r="G5" s="2" t="n"/>
    </row>
    <row r="6">
      <c r="B6" s="123" t="n"/>
      <c r="C6" s="124" t="n"/>
      <c r="D6" s="11" t="n"/>
      <c r="F6" s="2" t="n"/>
      <c r="G6" s="2" t="n"/>
    </row>
    <row r="7">
      <c r="B7" s="123" t="n"/>
      <c r="C7" s="124" t="n"/>
    </row>
    <row r="8">
      <c r="B8" s="123" t="n"/>
      <c r="C8" s="124" t="n"/>
    </row>
    <row r="9">
      <c r="B9" s="123" t="n"/>
      <c r="C9" s="124" t="n"/>
    </row>
    <row r="10">
      <c r="B10" s="123" t="n"/>
      <c r="C10" s="124" t="n"/>
    </row>
    <row r="11">
      <c r="B11" s="123" t="n"/>
      <c r="C11" s="124" t="n"/>
    </row>
    <row r="12">
      <c r="B12" s="45" t="n"/>
    </row>
  </sheetData>
  <mergeCells count="3">
    <mergeCell ref="A1:B2"/>
    <mergeCell ref="C1:D1"/>
    <mergeCell ref="A3:A4"/>
  </mergeCells>
  <pageMargins left="0.7" right="0.7" top="0.75" bottom="0.75" header="0.3" footer="0.3"/>
  <pageSetup orientation="portrait"/>
</worksheet>
</file>

<file path=xl/worksheets/sheet10.xml><?xml version="1.0" encoding="utf-8"?>
<worksheet xmlns="http://schemas.openxmlformats.org/spreadsheetml/2006/main">
  <sheetPr codeName="Sheet2">
    <outlinePr summaryBelow="1" summaryRight="1"/>
    <pageSetUpPr/>
  </sheetPr>
  <dimension ref="A1:F10"/>
  <sheetViews>
    <sheetView workbookViewId="0">
      <selection activeCell="C12" sqref="C12"/>
    </sheetView>
  </sheetViews>
  <sheetFormatPr baseColWidth="8" defaultRowHeight="12.3"/>
  <cols>
    <col width="26.38671875" customWidth="1" min="4" max="4"/>
  </cols>
  <sheetData>
    <row r="1" ht="13.8" customHeight="1">
      <c r="A1" s="65" t="inlineStr">
        <is>
          <t>Age</t>
        </is>
      </c>
      <c r="B1" s="65" t="inlineStr">
        <is>
          <t>Percent</t>
        </is>
      </c>
    </row>
    <row r="2" ht="14.1" customHeight="1">
      <c r="A2" s="10">
        <f>IF(E2="","xx",E2)</f>
        <v/>
      </c>
      <c r="B2" s="11">
        <f>IF(E2="","xx",F2)</f>
        <v/>
      </c>
      <c r="C2" s="10">
        <f>IF(A2="xx","","The percent for age "&amp;A2&amp;" is "&amp;TEXT(B2,"0.0%")&amp;".")</f>
        <v/>
      </c>
      <c r="E2" s="68" t="inlineStr">
        <is>
          <t>22-30</t>
        </is>
      </c>
      <c r="F2" s="68" t="n">
        <v>0.333333333</v>
      </c>
    </row>
    <row r="3" ht="14.1" customHeight="1">
      <c r="A3" s="10">
        <f>IF(E3="","xx",E3)</f>
        <v/>
      </c>
      <c r="B3" s="11">
        <f>IF(E3="","xx",F3)</f>
        <v/>
      </c>
      <c r="C3" s="10">
        <f>IF(A3="xx","","The percent for age "&amp;A3&amp;" is "&amp;TEXT(B3,"0.0%")&amp;".")</f>
        <v/>
      </c>
      <c r="E3" s="68" t="inlineStr">
        <is>
          <t>30-50</t>
        </is>
      </c>
      <c r="F3" s="68" t="n">
        <v>0.666666667</v>
      </c>
    </row>
    <row r="4" ht="14.1" customHeight="1">
      <c r="A4" s="10">
        <f>IF(E4="","xx",E4)</f>
        <v/>
      </c>
      <c r="B4" s="11">
        <f>IF(E4="","xx",F4)</f>
        <v/>
      </c>
      <c r="C4" s="10">
        <f>IF(A4="xx","","The percent for age "&amp;A4&amp;" is "&amp;TEXT(B4,"0.0%")&amp;".")</f>
        <v/>
      </c>
      <c r="E4" s="68" t="n"/>
      <c r="F4" s="68" t="n"/>
    </row>
    <row r="5" ht="14.1" customHeight="1">
      <c r="A5" s="10">
        <f>IF(E5="","xx",E5)</f>
        <v/>
      </c>
      <c r="B5" s="11">
        <f>IF(E5="","xx",F5)</f>
        <v/>
      </c>
      <c r="C5" s="10">
        <f>IF(A5="xx","","The percent for age "&amp;A5&amp;" is "&amp;TEXT(B5,"0.0%")&amp;".")</f>
        <v/>
      </c>
      <c r="E5" s="68" t="n"/>
      <c r="F5" s="68" t="n"/>
    </row>
    <row r="6" ht="14.1" customHeight="1">
      <c r="A6" s="10">
        <f>IF(E6="","xx",E6)</f>
        <v/>
      </c>
      <c r="B6" s="11">
        <f>IF(E6="","xx",F6)</f>
        <v/>
      </c>
      <c r="C6" s="10">
        <f>IF(A6="xx","","The percent for age "&amp;A6&amp;" is "&amp;TEXT(B6,"0.0%")&amp;".")</f>
        <v/>
      </c>
    </row>
    <row r="7" ht="14.1" customHeight="1">
      <c r="A7" s="10">
        <f>IF(E7="","xx",E7)</f>
        <v/>
      </c>
      <c r="B7" s="11">
        <f>IF(E7="","xx",F7)</f>
        <v/>
      </c>
      <c r="C7" s="10">
        <f>IF(A7="xx","","The percent for age "&amp;A7&amp;" is "&amp;TEXT(B7,"0.0%")&amp;".")</f>
        <v/>
      </c>
    </row>
    <row r="8" ht="14.1" customHeight="1">
      <c r="A8" s="10">
        <f>IF(E8="","xx",E8)</f>
        <v/>
      </c>
      <c r="B8" s="11">
        <f>IF(E8="","xx",F8)</f>
        <v/>
      </c>
      <c r="C8" s="10">
        <f>IF(A8="xx","","The percent for age "&amp;A8&amp;" is "&amp;TEXT(B8,"0.0%")&amp;".")</f>
        <v/>
      </c>
    </row>
    <row r="9" ht="14.1" customHeight="1">
      <c r="A9" s="10">
        <f>IF(E9="","xx",E9)</f>
        <v/>
      </c>
      <c r="B9" s="11">
        <f>IF(E9="","xx",F9)</f>
        <v/>
      </c>
      <c r="C9" s="10">
        <f>IF(A9="xx","","The percent for age "&amp;A9&amp;" is "&amp;TEXT(B9,"0.0%")&amp;".")</f>
        <v/>
      </c>
    </row>
    <row r="10" ht="14.1" customHeight="1">
      <c r="A10" s="10">
        <f>IF(E10="","xx",E10)</f>
        <v/>
      </c>
      <c r="B10" s="11">
        <f>IF(E10="","xx",F10)</f>
        <v/>
      </c>
      <c r="C10" s="10">
        <f>IF(A10="xx","","The percent for age "&amp;A10&amp;" is "&amp;TEXT(B10,"0.0%")&amp;".")</f>
        <v/>
      </c>
    </row>
  </sheetData>
  <pageMargins left="0.7" right="0.7" top="0.75" bottom="0.75" header="0.3" footer="0.3"/>
  <drawing xmlns:r="http://schemas.openxmlformats.org/officeDocument/2006/relationships" r:id="rId1"/>
</worksheet>
</file>

<file path=xl/worksheets/sheet11.xml><?xml version="1.0" encoding="utf-8"?>
<worksheet xmlns="http://schemas.openxmlformats.org/spreadsheetml/2006/main">
  <sheetPr codeName="Sheet3">
    <outlinePr summaryBelow="1" summaryRight="1"/>
    <pageSetUpPr/>
  </sheetPr>
  <dimension ref="A1:G10"/>
  <sheetViews>
    <sheetView workbookViewId="0">
      <selection activeCell="F13" sqref="F13"/>
    </sheetView>
  </sheetViews>
  <sheetFormatPr baseColWidth="8" defaultRowHeight="12.3"/>
  <sheetData>
    <row r="1" ht="13.8" customHeight="1">
      <c r="A1" s="64" t="inlineStr">
        <is>
          <t>Gender</t>
        </is>
      </c>
      <c r="B1" s="65" t="inlineStr">
        <is>
          <t>Percent</t>
        </is>
      </c>
    </row>
    <row r="2" ht="14.1" customHeight="1">
      <c r="A2" s="10">
        <f>IF(E2="","xx",E2)</f>
        <v/>
      </c>
      <c r="B2" s="11">
        <f>IF(E2="","xx",G2)</f>
        <v/>
      </c>
      <c r="E2" s="68" t="inlineStr">
        <is>
          <t>Male</t>
        </is>
      </c>
      <c r="F2" s="68" t="n">
        <v>0</v>
      </c>
      <c r="G2" s="68" t="n">
        <v>0</v>
      </c>
    </row>
    <row r="3" ht="14.1" customHeight="1">
      <c r="A3" s="10">
        <f>IF(E3="","xx",E3)</f>
        <v/>
      </c>
      <c r="B3" s="11">
        <f>IF(E3="","xx",G3)</f>
        <v/>
      </c>
      <c r="E3" s="68" t="inlineStr">
        <is>
          <t>Female</t>
        </is>
      </c>
      <c r="F3" s="68" t="n">
        <v>3</v>
      </c>
      <c r="G3" s="68" t="n">
        <v>1</v>
      </c>
    </row>
    <row r="4" ht="14.1" customHeight="1">
      <c r="A4" s="10">
        <f>IF(E4="","xx",E4)</f>
        <v/>
      </c>
      <c r="B4" s="11">
        <f>IF(E4="","xx",G4)</f>
        <v/>
      </c>
      <c r="E4" s="68" t="n"/>
      <c r="F4" s="68" t="n"/>
      <c r="G4" s="68" t="n"/>
    </row>
    <row r="5" ht="14.1" customHeight="1">
      <c r="A5" s="10">
        <f>IF(E5="","xx",E5)</f>
        <v/>
      </c>
      <c r="B5" s="11">
        <f>IF(E5="","xx",G5)</f>
        <v/>
      </c>
      <c r="E5" s="68" t="n"/>
      <c r="F5" s="68" t="n"/>
      <c r="G5" s="68" t="n"/>
    </row>
    <row r="6" ht="14.1" customHeight="1">
      <c r="A6" s="10">
        <f>IF(E6="","xx",E6)</f>
        <v/>
      </c>
      <c r="B6" s="11">
        <f>IF(E6="","xx",G6)</f>
        <v/>
      </c>
      <c r="E6" s="68" t="n"/>
      <c r="F6" s="68" t="n"/>
      <c r="G6" s="68" t="n"/>
    </row>
    <row r="7" ht="14.1" customHeight="1">
      <c r="A7" s="10">
        <f>IF(E7="","xx",E7)</f>
        <v/>
      </c>
      <c r="B7" s="11">
        <f>IF(E7="","xx",G7)</f>
        <v/>
      </c>
    </row>
    <row r="8" ht="14.1" customHeight="1">
      <c r="A8" s="10">
        <f>IF(E8="","xx",E8)</f>
        <v/>
      </c>
      <c r="B8" s="11">
        <f>IF(E8="","xx",G8)</f>
        <v/>
      </c>
    </row>
    <row r="9" ht="14.1" customHeight="1">
      <c r="A9" s="10">
        <f>IF(E9="","xx",E9)</f>
        <v/>
      </c>
      <c r="B9" s="11">
        <f>IF(E9="","xx",G9)</f>
        <v/>
      </c>
    </row>
    <row r="10" ht="14.1" customHeight="1">
      <c r="A10" s="10">
        <f>IF(E10="","xx",E10)</f>
        <v/>
      </c>
      <c r="B10" s="11">
        <f>IF(E10="","xx",G10)</f>
        <v/>
      </c>
    </row>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codeName="Sheet14">
    <outlinePr summaryBelow="1" summaryRight="1"/>
    <pageSetUpPr/>
  </sheetPr>
  <dimension ref="A1:G33"/>
  <sheetViews>
    <sheetView workbookViewId="0">
      <selection activeCell="B3" sqref="B3"/>
    </sheetView>
  </sheetViews>
  <sheetFormatPr baseColWidth="8" defaultColWidth="9.1640625" defaultRowHeight="14.1"/>
  <cols>
    <col width="5.5546875" customWidth="1" style="53" min="1" max="1"/>
    <col width="85.27734375" customWidth="1" style="8" min="2" max="2"/>
    <col width="9.1640625" customWidth="1" style="6" min="3" max="4"/>
    <col width="21.83203125" customWidth="1" style="6" min="5" max="5"/>
    <col width="9.1640625" customWidth="1" style="6" min="6" max="16384"/>
  </cols>
  <sheetData>
    <row r="1">
      <c r="A1" s="52" t="n"/>
      <c r="B1" s="47" t="n"/>
    </row>
    <row r="2">
      <c r="A2" s="54" t="inlineStr">
        <is>
          <t xml:space="preserve">  l</t>
        </is>
      </c>
      <c r="B2" s="8">
        <f>IF(E2 = "","0",E2)</f>
        <v/>
      </c>
      <c r="C2" s="6">
        <f>IF(G2 = "",0,1)</f>
        <v/>
      </c>
      <c r="E2" s="9" t="inlineStr">
        <is>
          <t>Insufficient Documentation</t>
        </is>
      </c>
      <c r="F2" s="6" t="n">
        <v>98653393.862</v>
      </c>
      <c r="G2" s="6" t="n">
        <v>6</v>
      </c>
    </row>
    <row r="3">
      <c r="A3" s="54" t="inlineStr">
        <is>
          <t xml:space="preserve">  l</t>
        </is>
      </c>
      <c r="B3" s="8">
        <f>IF(E3 = "","0",E3)</f>
        <v/>
      </c>
      <c r="C3" s="6">
        <f>IF(G3 = "",0,1)</f>
        <v/>
      </c>
      <c r="E3" s="9" t="inlineStr">
        <is>
          <t>No Documentation</t>
        </is>
      </c>
      <c r="F3" s="6" t="n">
        <v>69202151.8</v>
      </c>
      <c r="G3" s="6" t="n">
        <v>8</v>
      </c>
    </row>
    <row r="4">
      <c r="A4" s="54" t="inlineStr">
        <is>
          <t xml:space="preserve">  l</t>
        </is>
      </c>
      <c r="B4" s="8">
        <f>IF(E4 = "","0",E4)</f>
        <v/>
      </c>
      <c r="C4" s="6">
        <f>IF(G4 = "",0,1)</f>
        <v/>
      </c>
      <c r="E4" s="9" t="n"/>
    </row>
    <row r="5">
      <c r="A5" s="54" t="inlineStr">
        <is>
          <t xml:space="preserve">  l</t>
        </is>
      </c>
      <c r="B5" s="8">
        <f>IF(E5 = "","0",E5)</f>
        <v/>
      </c>
      <c r="C5" s="6">
        <f>IF(G5 = "",0,1)</f>
        <v/>
      </c>
      <c r="E5" s="9" t="n"/>
    </row>
    <row r="6">
      <c r="A6" s="54" t="inlineStr">
        <is>
          <t xml:space="preserve">  l</t>
        </is>
      </c>
      <c r="B6" s="8">
        <f>IF(E6 = "","0",E6)</f>
        <v/>
      </c>
      <c r="C6" s="6">
        <f>IF(G6 = "",0,1)</f>
        <v/>
      </c>
      <c r="E6" s="9" t="n"/>
    </row>
    <row r="7">
      <c r="A7" s="54" t="inlineStr">
        <is>
          <t xml:space="preserve">  l</t>
        </is>
      </c>
      <c r="B7" s="8">
        <f>IF(E7 = "","0",E7)</f>
        <v/>
      </c>
      <c r="C7" s="6">
        <f>IF(G7 = "",0,1)</f>
        <v/>
      </c>
      <c r="E7" s="9" t="n"/>
    </row>
    <row r="8">
      <c r="A8" s="54" t="inlineStr">
        <is>
          <t xml:space="preserve">  l</t>
        </is>
      </c>
      <c r="B8" s="8">
        <f>IF(E8 = "","0",E8)</f>
        <v/>
      </c>
      <c r="C8" s="6">
        <f>IF(G8 = "",0,1)</f>
        <v/>
      </c>
    </row>
    <row r="9">
      <c r="A9" s="54" t="inlineStr">
        <is>
          <t xml:space="preserve">  l</t>
        </is>
      </c>
      <c r="B9" s="8">
        <f>IF(E9 = "","0",E9)</f>
        <v/>
      </c>
      <c r="C9" s="6">
        <f>IF(G9 = "",0,1)</f>
        <v/>
      </c>
    </row>
    <row r="10">
      <c r="A10" s="54" t="inlineStr">
        <is>
          <t xml:space="preserve">  l</t>
        </is>
      </c>
      <c r="B10" s="8">
        <f>IF(E10 = "","0",E10)</f>
        <v/>
      </c>
      <c r="C10" s="6">
        <f>IF(G10 = "",0,1)</f>
        <v/>
      </c>
    </row>
    <row r="11">
      <c r="A11" s="54" t="inlineStr">
        <is>
          <t xml:space="preserve">  l</t>
        </is>
      </c>
      <c r="B11" s="8">
        <f>IF(E11 = "","0",E11)</f>
        <v/>
      </c>
      <c r="C11" s="6">
        <f>IF(G11 = "",0,1)</f>
        <v/>
      </c>
    </row>
    <row r="12">
      <c r="A12" s="54" t="inlineStr">
        <is>
          <t xml:space="preserve">  l</t>
        </is>
      </c>
      <c r="B12" s="8">
        <f>IF(E12 = "","0",E12)</f>
        <v/>
      </c>
      <c r="C12" s="6">
        <f>IF(G12 = "",0,1)</f>
        <v/>
      </c>
    </row>
    <row r="13">
      <c r="A13" s="54" t="inlineStr">
        <is>
          <t xml:space="preserve">  l</t>
        </is>
      </c>
      <c r="B13" s="8">
        <f>IF(E13 = "","0",E13)</f>
        <v/>
      </c>
      <c r="C13" s="6">
        <f>IF(G13 = "",0,1)</f>
        <v/>
      </c>
    </row>
    <row r="14">
      <c r="A14" s="54" t="inlineStr">
        <is>
          <t xml:space="preserve">  l</t>
        </is>
      </c>
      <c r="B14" s="8">
        <f>IF(E14 = "","0",E14)</f>
        <v/>
      </c>
      <c r="C14" s="6">
        <f>IF(G14 = "",0,1)</f>
        <v/>
      </c>
    </row>
    <row r="15">
      <c r="A15" s="54" t="inlineStr">
        <is>
          <t xml:space="preserve">  l</t>
        </is>
      </c>
      <c r="B15" s="8">
        <f>IF(E15 = "","0",E15)</f>
        <v/>
      </c>
      <c r="C15" s="6">
        <f>IF(G15 = "",0,1)</f>
        <v/>
      </c>
    </row>
    <row r="16">
      <c r="A16" s="54" t="inlineStr">
        <is>
          <t xml:space="preserve">  l</t>
        </is>
      </c>
      <c r="B16" s="8">
        <f>IF(E16 = "","0",E16)</f>
        <v/>
      </c>
      <c r="C16" s="6">
        <f>IF(G16 = "",0,1)</f>
        <v/>
      </c>
    </row>
    <row r="17">
      <c r="A17" s="54" t="inlineStr">
        <is>
          <t xml:space="preserve">  l</t>
        </is>
      </c>
      <c r="B17" s="8">
        <f>IF(E17 = "","0",E17)</f>
        <v/>
      </c>
      <c r="C17" s="6">
        <f>IF(G17 = "",0,1)</f>
        <v/>
      </c>
    </row>
    <row r="18">
      <c r="A18" s="54" t="inlineStr">
        <is>
          <t xml:space="preserve">  l</t>
        </is>
      </c>
      <c r="B18" s="8">
        <f>IF(E18 = "","0",E18)</f>
        <v/>
      </c>
      <c r="C18" s="6">
        <f>IF(G18 = "",0,1)</f>
        <v/>
      </c>
    </row>
    <row r="19">
      <c r="A19" s="54" t="inlineStr">
        <is>
          <t xml:space="preserve">  l</t>
        </is>
      </c>
      <c r="B19" s="8">
        <f>IF(E19 = "","0",E19)</f>
        <v/>
      </c>
      <c r="C19" s="6">
        <f>IF(G19 = "",0,1)</f>
        <v/>
      </c>
    </row>
    <row r="20">
      <c r="A20" s="54" t="inlineStr">
        <is>
          <t xml:space="preserve">  l</t>
        </is>
      </c>
      <c r="B20" s="8">
        <f>IF(E20 = "","0",E20)</f>
        <v/>
      </c>
      <c r="C20" s="6">
        <f>IF(G20 = "",0,1)</f>
        <v/>
      </c>
    </row>
    <row r="21">
      <c r="A21" s="54" t="inlineStr">
        <is>
          <t xml:space="preserve">  l</t>
        </is>
      </c>
      <c r="B21" s="8">
        <f>IF(E21 = "","0",E21)</f>
        <v/>
      </c>
      <c r="C21" s="6">
        <f>IF(G21 = "",0,1)</f>
        <v/>
      </c>
    </row>
    <row r="22">
      <c r="A22" s="54" t="inlineStr">
        <is>
          <t xml:space="preserve">  l</t>
        </is>
      </c>
      <c r="B22" s="8">
        <f>IF(E22 = "","0",E22)</f>
        <v/>
      </c>
      <c r="C22" s="6">
        <f>IF(G22 = "",0,1)</f>
        <v/>
      </c>
    </row>
    <row r="23">
      <c r="A23" s="54" t="inlineStr">
        <is>
          <t xml:space="preserve">  l</t>
        </is>
      </c>
      <c r="B23" s="8">
        <f>IF(E23 = "","0",E23)</f>
        <v/>
      </c>
      <c r="C23" s="6">
        <f>IF(G23 = "",0,1)</f>
        <v/>
      </c>
    </row>
    <row r="24">
      <c r="A24" s="54" t="inlineStr">
        <is>
          <t xml:space="preserve">  l</t>
        </is>
      </c>
      <c r="B24" s="8">
        <f>IF(E24 = "","0",E24)</f>
        <v/>
      </c>
      <c r="C24" s="6">
        <f>IF(G24 = "",0,1)</f>
        <v/>
      </c>
    </row>
    <row r="25">
      <c r="A25" s="54" t="inlineStr">
        <is>
          <t xml:space="preserve">  l</t>
        </is>
      </c>
      <c r="B25" s="8">
        <f>IF(E25 = "","0",E25)</f>
        <v/>
      </c>
      <c r="C25" s="6">
        <f>IF(G25 = "",0,1)</f>
        <v/>
      </c>
    </row>
    <row r="26">
      <c r="A26" s="54" t="inlineStr">
        <is>
          <t xml:space="preserve">  l</t>
        </is>
      </c>
      <c r="B26" s="8">
        <f>IF(E26 = "","0",E26)</f>
        <v/>
      </c>
      <c r="C26" s="6">
        <f>IF(G26 = "",0,1)</f>
        <v/>
      </c>
    </row>
    <row r="27">
      <c r="A27" s="54" t="inlineStr">
        <is>
          <t xml:space="preserve">  l</t>
        </is>
      </c>
      <c r="B27" s="8">
        <f>IF(E27 = "","0",E27)</f>
        <v/>
      </c>
      <c r="C27" s="6">
        <f>IF(G27 = "",0,1)</f>
        <v/>
      </c>
    </row>
    <row r="28">
      <c r="A28" s="54" t="inlineStr">
        <is>
          <t xml:space="preserve">  l</t>
        </is>
      </c>
      <c r="B28" s="8">
        <f>IF(E28 = "","0",E28)</f>
        <v/>
      </c>
      <c r="C28" s="6">
        <f>IF(G28 = "",0,1)</f>
        <v/>
      </c>
    </row>
    <row r="29">
      <c r="A29" s="54" t="inlineStr">
        <is>
          <t xml:space="preserve">  l</t>
        </is>
      </c>
      <c r="B29" s="8">
        <f>IF(E29 = "","0",E29)</f>
        <v/>
      </c>
      <c r="C29" s="6">
        <f>IF(G29 = "",0,1)</f>
        <v/>
      </c>
    </row>
    <row r="30">
      <c r="A30" s="54" t="inlineStr">
        <is>
          <t xml:space="preserve">  l</t>
        </is>
      </c>
      <c r="B30" s="8">
        <f>IF(E30 = "","0",E30)</f>
        <v/>
      </c>
      <c r="C30" s="6">
        <f>IF(G30 = "",0,1)</f>
        <v/>
      </c>
    </row>
    <row r="31">
      <c r="A31" s="54" t="inlineStr">
        <is>
          <t xml:space="preserve">  l</t>
        </is>
      </c>
      <c r="B31" s="8">
        <f>IF(E31 = "","0",E31)</f>
        <v/>
      </c>
      <c r="C31" s="6">
        <f>IF(G31 = "",0,1)</f>
        <v/>
      </c>
    </row>
    <row r="32">
      <c r="A32" s="54" t="inlineStr">
        <is>
          <t xml:space="preserve">  l</t>
        </is>
      </c>
      <c r="B32" s="8">
        <f>IF(E32 = "","0",E32)</f>
        <v/>
      </c>
      <c r="C32" s="6">
        <f>IF(G32 = "",0,1)</f>
        <v/>
      </c>
    </row>
    <row r="33">
      <c r="A33" s="54" t="inlineStr">
        <is>
          <t xml:space="preserve">  l</t>
        </is>
      </c>
      <c r="B33" s="8">
        <f>IF(E33 = "","0",E33)</f>
        <v/>
      </c>
      <c r="C33" s="6">
        <f>IF(G33 = "",0,1)</f>
        <v/>
      </c>
    </row>
  </sheetData>
  <pageMargins left="0.7" right="0.7" top="0.75" bottom="0.75" header="0.3" footer="0.3"/>
  <pageSetup orientation="portrait" paperSize="0" horizontalDpi="0" verticalDpi="0" copies="0"/>
</worksheet>
</file>

<file path=xl/worksheets/sheet13.xml><?xml version="1.0" encoding="utf-8"?>
<worksheet xmlns="http://schemas.openxmlformats.org/spreadsheetml/2006/main">
  <sheetPr codeName="Sheet35">
    <outlinePr summaryBelow="1" summaryRight="1"/>
    <pageSetUpPr/>
  </sheetPr>
  <dimension ref="B2:E27"/>
  <sheetViews>
    <sheetView workbookViewId="0">
      <selection activeCell="J21" sqref="J21"/>
    </sheetView>
  </sheetViews>
  <sheetFormatPr baseColWidth="8" defaultRowHeight="12.3"/>
  <sheetData>
    <row r="2">
      <c r="B2" s="1" t="inlineStr">
        <is>
          <t>A</t>
        </is>
      </c>
      <c r="C2" s="1" t="n">
        <v>1</v>
      </c>
      <c r="D2" s="1" t="n"/>
      <c r="E2" s="1" t="inlineStr">
        <is>
          <t>if colChar="A" then colNum=1</t>
        </is>
      </c>
    </row>
    <row r="3">
      <c r="B3" s="1" t="inlineStr">
        <is>
          <t>B</t>
        </is>
      </c>
      <c r="C3" s="1" t="n">
        <v>2</v>
      </c>
      <c r="D3" s="1" t="n"/>
      <c r="E3" s="1" t="inlineStr">
        <is>
          <t>elseif colChar="B" then colNum=2</t>
        </is>
      </c>
    </row>
    <row r="4">
      <c r="B4" s="1" t="inlineStr">
        <is>
          <t>C</t>
        </is>
      </c>
      <c r="C4" s="1" t="n">
        <v>3</v>
      </c>
      <c r="D4" s="1" t="n"/>
      <c r="E4" s="1" t="inlineStr">
        <is>
          <t>elseif colChar="C" then colNum=3</t>
        </is>
      </c>
    </row>
    <row r="5">
      <c r="B5" s="1" t="inlineStr">
        <is>
          <t>D</t>
        </is>
      </c>
      <c r="C5" s="1" t="n">
        <v>4</v>
      </c>
      <c r="D5" s="1" t="n"/>
      <c r="E5" s="1" t="inlineStr">
        <is>
          <t>elseif colChar="D" then colNum=4</t>
        </is>
      </c>
    </row>
    <row r="6">
      <c r="B6" s="1" t="inlineStr">
        <is>
          <t>E</t>
        </is>
      </c>
      <c r="C6" s="1" t="n">
        <v>5</v>
      </c>
      <c r="D6" s="1" t="n"/>
      <c r="E6" s="1" t="inlineStr">
        <is>
          <t>elseif colChar="E" then colNum=5</t>
        </is>
      </c>
    </row>
    <row r="7">
      <c r="B7" s="1" t="inlineStr">
        <is>
          <t>F</t>
        </is>
      </c>
      <c r="C7" s="1" t="n">
        <v>6</v>
      </c>
      <c r="D7" s="1" t="n"/>
      <c r="E7" s="1" t="inlineStr">
        <is>
          <t>elseif colChar="F" then colNum=6</t>
        </is>
      </c>
    </row>
    <row r="8">
      <c r="B8" s="1" t="inlineStr">
        <is>
          <t>G</t>
        </is>
      </c>
      <c r="C8" s="1" t="n">
        <v>7</v>
      </c>
      <c r="D8" s="1" t="n"/>
      <c r="E8" s="1" t="inlineStr">
        <is>
          <t>elseif colChar="G" then colNum=7</t>
        </is>
      </c>
    </row>
    <row r="9">
      <c r="B9" s="1" t="inlineStr">
        <is>
          <t>H</t>
        </is>
      </c>
      <c r="C9" s="1" t="n">
        <v>8</v>
      </c>
      <c r="D9" s="1" t="n"/>
      <c r="E9" s="1" t="inlineStr">
        <is>
          <t>elseif colChar="H" then colNum=8</t>
        </is>
      </c>
    </row>
    <row r="10">
      <c r="B10" s="1" t="inlineStr">
        <is>
          <t>I</t>
        </is>
      </c>
      <c r="C10" s="1" t="n">
        <v>9</v>
      </c>
      <c r="D10" s="1" t="n"/>
      <c r="E10" s="1" t="inlineStr">
        <is>
          <t>elseif colChar="I" then colNum=9</t>
        </is>
      </c>
    </row>
    <row r="11">
      <c r="B11" s="1" t="inlineStr">
        <is>
          <t>J</t>
        </is>
      </c>
      <c r="C11" s="1" t="n">
        <v>10</v>
      </c>
      <c r="D11" s="1" t="n"/>
      <c r="E11" s="1" t="inlineStr">
        <is>
          <t>elseif colChar="J" then colNum=10</t>
        </is>
      </c>
    </row>
    <row r="12">
      <c r="B12" s="1" t="inlineStr">
        <is>
          <t>K</t>
        </is>
      </c>
      <c r="C12" s="1" t="n">
        <v>11</v>
      </c>
      <c r="D12" s="1" t="n"/>
      <c r="E12" s="1" t="inlineStr">
        <is>
          <t>elseif colChar="K" then colNum=11</t>
        </is>
      </c>
    </row>
    <row r="13">
      <c r="B13" s="1" t="inlineStr">
        <is>
          <t>L</t>
        </is>
      </c>
      <c r="C13" s="1" t="n">
        <v>12</v>
      </c>
      <c r="D13" s="1" t="n"/>
      <c r="E13" s="1" t="inlineStr">
        <is>
          <t>elseif colChar="L" then colNum=12</t>
        </is>
      </c>
    </row>
    <row r="14">
      <c r="B14" s="1" t="inlineStr">
        <is>
          <t>M</t>
        </is>
      </c>
      <c r="C14" s="1" t="n">
        <v>13</v>
      </c>
      <c r="D14" s="1" t="n"/>
      <c r="E14" s="1" t="inlineStr">
        <is>
          <t>elseif colChar="M" then colNum=13</t>
        </is>
      </c>
    </row>
    <row r="15">
      <c r="B15" s="1" t="inlineStr">
        <is>
          <t>N</t>
        </is>
      </c>
      <c r="C15" s="1" t="n">
        <v>14</v>
      </c>
      <c r="D15" s="1" t="n"/>
      <c r="E15" s="1" t="inlineStr">
        <is>
          <t>elseif colChar="N" then colNum=14</t>
        </is>
      </c>
    </row>
    <row r="16">
      <c r="B16" s="1" t="inlineStr">
        <is>
          <t>O</t>
        </is>
      </c>
      <c r="C16" s="1" t="n">
        <v>15</v>
      </c>
      <c r="D16" s="1" t="n"/>
      <c r="E16" s="1" t="inlineStr">
        <is>
          <t>elseif colChar="O" then colNum=15</t>
        </is>
      </c>
    </row>
    <row r="17">
      <c r="B17" s="1" t="inlineStr">
        <is>
          <t>P</t>
        </is>
      </c>
      <c r="C17" s="1" t="n">
        <v>16</v>
      </c>
      <c r="D17" s="1" t="n"/>
      <c r="E17" s="1" t="inlineStr">
        <is>
          <t>elseif colChar="P" then colNum=16</t>
        </is>
      </c>
    </row>
    <row r="18">
      <c r="B18" s="1" t="inlineStr">
        <is>
          <t>Q</t>
        </is>
      </c>
      <c r="C18" s="1" t="n">
        <v>17</v>
      </c>
      <c r="D18" s="1" t="n"/>
      <c r="E18" s="1" t="inlineStr">
        <is>
          <t>elseif colChar="Q" then colNum=17</t>
        </is>
      </c>
    </row>
    <row r="19">
      <c r="B19" s="1" t="inlineStr">
        <is>
          <t>R</t>
        </is>
      </c>
      <c r="C19" s="1" t="n">
        <v>18</v>
      </c>
      <c r="D19" s="1" t="n"/>
      <c r="E19" s="1" t="inlineStr">
        <is>
          <t>elseif colChar="R" then colNum=18</t>
        </is>
      </c>
    </row>
    <row r="20">
      <c r="B20" s="1" t="inlineStr">
        <is>
          <t>S</t>
        </is>
      </c>
      <c r="C20" s="1" t="n">
        <v>19</v>
      </c>
      <c r="D20" s="1" t="n"/>
      <c r="E20" s="1" t="inlineStr">
        <is>
          <t>elseif colChar="S" then colNum=19</t>
        </is>
      </c>
    </row>
    <row r="21">
      <c r="B21" s="1" t="inlineStr">
        <is>
          <t>T</t>
        </is>
      </c>
      <c r="C21" s="1" t="n">
        <v>20</v>
      </c>
      <c r="D21" s="1" t="n"/>
      <c r="E21" s="1" t="inlineStr">
        <is>
          <t>elseif colChar="T" then colNum=20</t>
        </is>
      </c>
    </row>
    <row r="22">
      <c r="B22" s="1" t="inlineStr">
        <is>
          <t>U</t>
        </is>
      </c>
      <c r="C22" s="1" t="n">
        <v>21</v>
      </c>
      <c r="D22" s="1" t="n"/>
      <c r="E22" s="1" t="inlineStr">
        <is>
          <t>elseif colChar="U" then colNum=21</t>
        </is>
      </c>
    </row>
    <row r="23">
      <c r="B23" s="1" t="inlineStr">
        <is>
          <t>V</t>
        </is>
      </c>
      <c r="C23" s="1" t="n">
        <v>22</v>
      </c>
      <c r="D23" s="1" t="n"/>
      <c r="E23" s="1" t="inlineStr">
        <is>
          <t>elseif colChar="V" then colNum=22</t>
        </is>
      </c>
    </row>
    <row r="24">
      <c r="B24" s="1" t="inlineStr">
        <is>
          <t>W</t>
        </is>
      </c>
      <c r="C24" s="1" t="n">
        <v>23</v>
      </c>
      <c r="D24" s="1" t="n"/>
      <c r="E24" s="1" t="inlineStr">
        <is>
          <t>elseif colChar="W" then colNum=23</t>
        </is>
      </c>
    </row>
    <row r="25">
      <c r="B25" s="1" t="inlineStr">
        <is>
          <t>X</t>
        </is>
      </c>
      <c r="C25" s="1" t="n">
        <v>24</v>
      </c>
      <c r="D25" s="1" t="n"/>
      <c r="E25" s="1" t="inlineStr">
        <is>
          <t>elseif colChar="X" then colNum=24</t>
        </is>
      </c>
    </row>
    <row r="26">
      <c r="B26" s="1" t="inlineStr">
        <is>
          <t>Y</t>
        </is>
      </c>
      <c r="C26" s="1" t="n">
        <v>25</v>
      </c>
      <c r="D26" s="1" t="n"/>
      <c r="E26" s="1" t="inlineStr">
        <is>
          <t>elseif colChar="Y" then colNum=25</t>
        </is>
      </c>
    </row>
    <row r="27">
      <c r="B27" s="1" t="inlineStr">
        <is>
          <t>Z</t>
        </is>
      </c>
      <c r="C27" s="1" t="n">
        <v>26</v>
      </c>
      <c r="D27" s="1" t="n"/>
      <c r="E27" s="1" t="inlineStr">
        <is>
          <t>elseif colChar="Z" then colNum=26</t>
        </is>
      </c>
    </row>
  </sheetData>
  <pageMargins left="0.7" right="0.7" top="0.75" bottom="0.75" header="0.3" footer="0.3"/>
</worksheet>
</file>

<file path=xl/worksheets/sheet14.xml><?xml version="1.0" encoding="utf-8"?>
<worksheet xmlns="http://schemas.openxmlformats.org/spreadsheetml/2006/main">
  <sheetPr codeName="Sheet6">
    <outlinePr summaryBelow="1" summaryRight="1"/>
    <pageSetUpPr/>
  </sheetPr>
  <dimension ref="A1:G15"/>
  <sheetViews>
    <sheetView topLeftCell="A2" workbookViewId="0">
      <selection activeCell="A1" sqref="A1"/>
    </sheetView>
  </sheetViews>
  <sheetFormatPr baseColWidth="8" defaultRowHeight="12.3"/>
  <cols>
    <col width="3.5546875" customWidth="1" min="1" max="1"/>
    <col width="69.27734375" customWidth="1" min="2" max="2"/>
  </cols>
  <sheetData>
    <row r="1">
      <c r="A1" s="48" t="inlineStr">
        <is>
          <t>Bullet</t>
        </is>
      </c>
      <c r="B1" s="48" t="inlineStr">
        <is>
          <t>Statement</t>
        </is>
      </c>
    </row>
    <row r="2">
      <c r="A2" s="105">
        <f>IF(F2="","xx","l")</f>
        <v/>
      </c>
      <c r="B2">
        <f>IF(F2="","xx","There are " &amp; F2 &amp; " males in company " &amp; 'Current Parameters'!A$11)</f>
        <v/>
      </c>
      <c r="E2" s="68" t="inlineStr">
        <is>
          <t>Male</t>
        </is>
      </c>
      <c r="F2" s="68" t="n">
        <v>0</v>
      </c>
      <c r="G2" s="68" t="n">
        <v>0</v>
      </c>
    </row>
    <row r="3">
      <c r="A3" s="105">
        <f>IF(F3="","xx","l")</f>
        <v/>
      </c>
      <c r="B3">
        <f>IF(F3="","xx","There are " &amp; F3 &amp; " females in company " &amp; 'Current Parameters'!A$11)</f>
        <v/>
      </c>
      <c r="E3" s="68" t="inlineStr">
        <is>
          <t>Female</t>
        </is>
      </c>
      <c r="F3" s="68" t="n">
        <v>3</v>
      </c>
      <c r="G3" s="68" t="n">
        <v>1</v>
      </c>
    </row>
    <row r="4">
      <c r="A4" s="105">
        <f>IF(F4="","xx","l")</f>
        <v/>
      </c>
      <c r="B4">
        <f>IF(F4="","xx","There are " &amp; F4 &amp; " males in company " &amp; 'Current Parameters'!A$11)</f>
        <v/>
      </c>
      <c r="E4" s="68" t="n"/>
      <c r="F4" s="68" t="n"/>
      <c r="G4" s="68" t="n"/>
    </row>
    <row r="5">
      <c r="A5" s="105">
        <f>IF(F5="","xx","l")</f>
        <v/>
      </c>
      <c r="B5">
        <f>IF(F5="","xx","There are " &amp; F5 &amp; " males in company " &amp; 'Current Parameters'!A$11)</f>
        <v/>
      </c>
      <c r="E5" s="68" t="n"/>
      <c r="F5" s="68" t="n"/>
      <c r="G5" s="68" t="n"/>
    </row>
    <row r="6">
      <c r="A6" s="105">
        <f>IF(F6="","xx","l")</f>
        <v/>
      </c>
      <c r="B6">
        <f>IF(F6="","xx","There are " &amp; F6 &amp; " males in company " &amp; 'Current Parameters'!A$11)</f>
        <v/>
      </c>
      <c r="E6" s="68" t="n"/>
      <c r="F6" s="68" t="n"/>
      <c r="G6" s="68" t="n"/>
    </row>
    <row r="7">
      <c r="A7" s="105">
        <f>IF(F7="","xx","l")</f>
        <v/>
      </c>
      <c r="B7">
        <f>IF(F7="","xx","There are " &amp; F7 &amp; " males in company " &amp; 'Current Parameters'!A$11)</f>
        <v/>
      </c>
    </row>
    <row r="8">
      <c r="A8" s="105">
        <f>IF(F8="","xx","l")</f>
        <v/>
      </c>
      <c r="B8">
        <f>IF(F8="","xx","There are " &amp; F8 &amp; " males in company " &amp; 'Current Parameters'!A$11)</f>
        <v/>
      </c>
    </row>
    <row r="9">
      <c r="A9" s="105">
        <f>IF(F9="","xx","l")</f>
        <v/>
      </c>
      <c r="B9">
        <f>IF(F9="","xx","There are " &amp; F9 &amp; " males in company " &amp; 'Current Parameters'!A$11)</f>
        <v/>
      </c>
    </row>
    <row r="10">
      <c r="A10" s="105">
        <f>IF(F10="","xx","l")</f>
        <v/>
      </c>
      <c r="B10">
        <f>IF(F10="","xx","There are " &amp; F10 &amp; " males in company " &amp; 'Current Parameters'!A$11)</f>
        <v/>
      </c>
    </row>
    <row r="11">
      <c r="A11" s="105">
        <f>IF(F11="","xx","l")</f>
        <v/>
      </c>
      <c r="B11">
        <f>IF(F11="","xx","There are " &amp; F11 &amp; " males in company " &amp; 'Current Parameters'!A$11)</f>
        <v/>
      </c>
    </row>
    <row r="12">
      <c r="A12" s="105">
        <f>IF(F12="","xx","l")</f>
        <v/>
      </c>
      <c r="B12">
        <f>IF(F12="","xx","There are " &amp; F12 &amp; " males in company " &amp; 'Current Parameters'!A$11)</f>
        <v/>
      </c>
    </row>
    <row r="13">
      <c r="A13" s="105">
        <f>IF(F13="","xx","l")</f>
        <v/>
      </c>
      <c r="B13">
        <f>IF(F13="","xx","There are " &amp; F13 &amp; " males in company " &amp; 'Current Parameters'!A$11)</f>
        <v/>
      </c>
    </row>
    <row r="14">
      <c r="A14" s="105">
        <f>IF(F14="","xx","l")</f>
        <v/>
      </c>
      <c r="B14">
        <f>IF(F14="","xx","There are " &amp; F14 &amp; " males in company " &amp; 'Current Parameters'!A$11)</f>
        <v/>
      </c>
    </row>
    <row r="15">
      <c r="A15" s="105">
        <f>IF(F15="","xx","l")</f>
        <v/>
      </c>
      <c r="B15">
        <f>IF(F15="","xx","There are " &amp; F15 &amp; " males in company " &amp; 'Current Parameters'!A$11)</f>
        <v/>
      </c>
    </row>
  </sheetData>
  <pageMargins left="0.7" right="0.7" top="0.75" bottom="0.75" header="0.3" footer="0.3"/>
</worksheet>
</file>

<file path=xl/worksheets/sheet15.xml><?xml version="1.0" encoding="utf-8"?>
<worksheet xmlns="http://schemas.openxmlformats.org/spreadsheetml/2006/main">
  <sheetPr codeName="Sheet9">
    <outlinePr summaryBelow="1" summaryRight="1"/>
    <pageSetUpPr/>
  </sheetPr>
  <dimension ref="A1:F6"/>
  <sheetViews>
    <sheetView workbookViewId="0">
      <selection activeCell="D2" sqref="D2"/>
    </sheetView>
  </sheetViews>
  <sheetFormatPr baseColWidth="8" defaultColWidth="9.1640625" defaultRowHeight="12.3"/>
  <cols>
    <col width="9.1640625" customWidth="1" style="109" min="1" max="1"/>
    <col width="79.5546875" customWidth="1" style="109" min="2" max="2"/>
    <col width="14.27734375" customWidth="1" style="109" min="3" max="3"/>
    <col width="54.83203125" customWidth="1" style="109" min="4" max="4"/>
    <col width="14" customWidth="1" style="109" min="5" max="5"/>
    <col width="9.1640625" customWidth="1" style="109" min="6" max="16384"/>
  </cols>
  <sheetData>
    <row r="1" ht="45" customHeight="1">
      <c r="A1" s="107" t="inlineStr">
        <is>
          <t>Section</t>
        </is>
      </c>
      <c r="B1" s="107" t="inlineStr">
        <is>
          <t>Header</t>
        </is>
      </c>
      <c r="C1" s="108" t="inlineStr">
        <is>
          <t>Alignment (Left,Center, Right)</t>
        </is>
      </c>
      <c r="D1" s="108" t="inlineStr">
        <is>
          <t>Footer</t>
        </is>
      </c>
      <c r="E1" s="108" t="inlineStr">
        <is>
          <t>Alignment (Left, Center, Right)</t>
        </is>
      </c>
      <c r="F1" s="107" t="n"/>
    </row>
    <row r="2">
      <c r="A2" s="110" t="n">
        <v>1</v>
      </c>
      <c r="B2" s="111">
        <f>"Company " &amp; 'Current Parameters'!A11 &amp; " Report"</f>
        <v/>
      </c>
      <c r="C2" s="111" t="inlineStr">
        <is>
          <t>Center</t>
        </is>
      </c>
      <c r="D2" s="111" t="n"/>
      <c r="E2" s="111" t="inlineStr">
        <is>
          <t>Left</t>
        </is>
      </c>
    </row>
    <row r="3" ht="15" customHeight="1">
      <c r="A3" s="110" t="n">
        <v>2</v>
      </c>
      <c r="B3" s="112" t="n"/>
      <c r="C3" s="111" t="inlineStr">
        <is>
          <t>Center</t>
        </is>
      </c>
      <c r="D3" s="113" t="n"/>
      <c r="E3" s="111" t="inlineStr">
        <is>
          <t>Left</t>
        </is>
      </c>
    </row>
    <row r="4" ht="15" customHeight="1">
      <c r="A4" s="110" t="n">
        <v>3</v>
      </c>
      <c r="B4" s="112" t="n"/>
      <c r="C4" s="111" t="inlineStr">
        <is>
          <t>Center</t>
        </is>
      </c>
      <c r="D4" s="113" t="n"/>
      <c r="E4" s="111" t="inlineStr">
        <is>
          <t>Left</t>
        </is>
      </c>
    </row>
    <row r="5" ht="15" customHeight="1">
      <c r="A5" s="110" t="n">
        <v>4</v>
      </c>
      <c r="B5" s="112" t="n"/>
      <c r="C5" s="111" t="inlineStr">
        <is>
          <t>Center</t>
        </is>
      </c>
      <c r="D5" s="113" t="n"/>
      <c r="E5" s="111" t="inlineStr">
        <is>
          <t>Left</t>
        </is>
      </c>
    </row>
    <row r="6">
      <c r="A6" s="110" t="n">
        <v>5</v>
      </c>
      <c r="B6" s="111" t="n"/>
      <c r="C6" s="111" t="inlineStr">
        <is>
          <t>Center</t>
        </is>
      </c>
      <c r="D6" s="111" t="n"/>
      <c r="E6" s="111" t="inlineStr">
        <is>
          <t>Left</t>
        </is>
      </c>
    </row>
  </sheetData>
  <pageMargins left="0.7" right="0.7" top="0.75" bottom="0.75" header="0.3" footer="0.3"/>
  <pageSetup orientation="portrait"/>
</worksheet>
</file>

<file path=xl/worksheets/sheet16.xml><?xml version="1.0" encoding="utf-8"?>
<worksheet xmlns="http://schemas.openxmlformats.org/spreadsheetml/2006/main">
  <sheetPr codeName="Sheet5">
    <outlinePr summaryBelow="1" summaryRight="1"/>
    <pageSetUpPr/>
  </sheetPr>
  <dimension ref="A1:A2"/>
  <sheetViews>
    <sheetView workbookViewId="0">
      <selection activeCell="H23" sqref="H23"/>
    </sheetView>
  </sheetViews>
  <sheetFormatPr baseColWidth="8" defaultColWidth="9.1640625" defaultRowHeight="12.3"/>
  <cols>
    <col width="79.5546875" customWidth="1" style="82" min="1" max="1"/>
    <col width="9.1640625" customWidth="1" style="82" min="2" max="16384"/>
  </cols>
  <sheetData>
    <row r="1" ht="15" customHeight="1">
      <c r="A1" s="84" t="inlineStr">
        <is>
          <t>Place header for report below (in cell A2)</t>
        </is>
      </c>
    </row>
    <row r="2" ht="15" customHeight="1">
      <c r="A2" s="83">
        <f>"Report for Company " &amp; 'Current Parameters'!A11 &amp; " - " &amp; Date!C2 &amp; "/" &amp; Date!B2 &amp; "/" &amp; Date!D2</f>
        <v/>
      </c>
    </row>
  </sheetData>
  <pageMargins left="0.7" right="0.7" top="0.75" bottom="0.75" header="0.3" footer="0.3"/>
  <pageSetup orientation="portrait"/>
</worksheet>
</file>

<file path=xl/worksheets/sheet17.xml><?xml version="1.0" encoding="utf-8"?>
<worksheet xmlns="http://schemas.openxmlformats.org/spreadsheetml/2006/main">
  <sheetPr codeName="Sheet32">
    <outlinePr summaryBelow="1" summaryRight="1"/>
    <pageSetUpPr/>
  </sheetPr>
  <dimension ref="A1:U104"/>
  <sheetViews>
    <sheetView topLeftCell="E1" zoomScale="80" zoomScaleNormal="80" workbookViewId="0">
      <selection activeCell="K8" sqref="K8"/>
    </sheetView>
  </sheetViews>
  <sheetFormatPr baseColWidth="8" defaultColWidth="9.1640625" defaultRowHeight="15.3"/>
  <cols>
    <col width="9.1640625" customWidth="1" style="92" min="1" max="2"/>
    <col width="20" customWidth="1" style="87" min="3" max="3"/>
    <col width="35.1640625" customWidth="1" style="93" min="4" max="4"/>
    <col width="35.1640625" customWidth="1" style="89" min="5" max="6"/>
    <col width="16.1640625" customWidth="1" style="87" min="7" max="7"/>
    <col width="9.1640625" customWidth="1" style="87" min="8" max="9"/>
    <col width="9.1640625" customWidth="1" style="92" min="10" max="10"/>
    <col width="9.1640625" customWidth="1" style="99" min="11" max="11"/>
    <col width="9.1640625" customWidth="1" style="92" min="12" max="12"/>
    <col width="9.1640625" customWidth="1" style="87" min="13" max="15"/>
    <col width="9.1640625" customWidth="1" style="92" min="16" max="16"/>
    <col width="9.1640625" customWidth="1" style="99" min="17" max="17"/>
    <col width="9.1640625" customWidth="1" style="92" min="18" max="18"/>
    <col width="9.1640625" customWidth="1" style="87" min="19" max="16384"/>
  </cols>
  <sheetData>
    <row r="1" ht="15" customHeight="1">
      <c r="A1" s="96" t="inlineStr">
        <is>
          <t>Section</t>
        </is>
      </c>
      <c r="B1" s="96" t="inlineStr">
        <is>
          <t>Include</t>
        </is>
      </c>
      <c r="C1" s="87" t="inlineStr">
        <is>
          <t>Number of rows</t>
        </is>
      </c>
      <c r="D1" s="95" t="inlineStr">
        <is>
          <t>Reason</t>
        </is>
      </c>
      <c r="G1" s="97" t="inlineStr">
        <is>
          <t>Followed By Bullet</t>
        </is>
      </c>
      <c r="J1" s="96" t="inlineStr">
        <is>
          <t>Section</t>
        </is>
      </c>
      <c r="K1" s="100" t="inlineStr">
        <is>
          <t>TableX</t>
        </is>
      </c>
      <c r="L1" s="96" t="inlineStr">
        <is>
          <t>Table</t>
        </is>
      </c>
      <c r="M1" s="88" t="n"/>
      <c r="N1" s="88" t="n"/>
      <c r="O1" s="88" t="n"/>
      <c r="P1" s="91" t="inlineStr">
        <is>
          <t>Section</t>
        </is>
      </c>
      <c r="Q1" s="98" t="inlineStr">
        <is>
          <t>FigureX</t>
        </is>
      </c>
      <c r="R1" s="91" t="inlineStr">
        <is>
          <t>Figure</t>
        </is>
      </c>
      <c r="S1" s="88" t="n"/>
      <c r="T1" s="88" t="n"/>
      <c r="U1" s="88" t="n"/>
    </row>
    <row r="2" ht="30.6" customHeight="1">
      <c r="A2" s="91" t="n">
        <v>1</v>
      </c>
      <c r="B2" s="92">
        <f>IF('Figure 1'!$A$3="xx",0,1)</f>
        <v/>
      </c>
      <c r="D2" s="93">
        <f>CONCATENATE("All employees at ",'Report Numbers'!C2," are the same age.")</f>
        <v/>
      </c>
      <c r="J2" s="92" t="n">
        <v>99</v>
      </c>
      <c r="K2" s="99" t="inlineStr">
        <is>
          <t>01</t>
        </is>
      </c>
      <c r="L2" s="92">
        <f>IF(VLOOKUP(J2,Xsection,2,FALSE)=0,0,1)</f>
        <v/>
      </c>
      <c r="P2" s="92" t="n">
        <v>1</v>
      </c>
      <c r="Q2" s="98" t="inlineStr">
        <is>
          <t>01</t>
        </is>
      </c>
      <c r="R2" s="92">
        <f>IF(VLOOKUP(P2,Xsection,2,FALSE)=0,0,1)</f>
        <v/>
      </c>
    </row>
    <row r="3" ht="30.6" customHeight="1">
      <c r="A3" s="91" t="n">
        <v>2</v>
      </c>
      <c r="B3" s="92">
        <f>IF(OR('Figure 2'!B2=1,'Figure 2'!B3=1),0,1)</f>
        <v/>
      </c>
      <c r="D3" s="93">
        <f>IF(B3=1,"",IF(VLOOKUP('Current Parameters'!A11,companies,3)=0,F3,E3))</f>
        <v/>
      </c>
      <c r="E3" s="90">
        <f>CONCATENATE("All employees at ",'Report Numbers'!C2," are male so no analysis is provided.")</f>
        <v/>
      </c>
      <c r="F3" s="90">
        <f>CONCATENATE("All employees at ",'Report Numbers'!C2," are female so no analysis is provided.")</f>
        <v/>
      </c>
      <c r="J3" s="92" t="n">
        <v>99</v>
      </c>
      <c r="K3" s="99" t="inlineStr">
        <is>
          <t>02</t>
        </is>
      </c>
      <c r="L3" s="92">
        <f>IF(VLOOKUP(J3,Xsection,2,FALSE)=0,L2,L2+1)</f>
        <v/>
      </c>
      <c r="P3" s="92" t="n">
        <v>2</v>
      </c>
      <c r="Q3" s="98" t="inlineStr">
        <is>
          <t>02</t>
        </is>
      </c>
      <c r="R3" s="92">
        <f>IF(VLOOKUP(P3,Xsection,2,FALSE)=0,R2,1+R2)</f>
        <v/>
      </c>
    </row>
    <row r="4">
      <c r="A4" s="91" t="n"/>
      <c r="J4" s="92" t="n">
        <v>99</v>
      </c>
      <c r="K4" s="98" t="inlineStr">
        <is>
          <t>03</t>
        </is>
      </c>
      <c r="L4" s="92">
        <f>IF(VLOOKUP(J4,Xsection,2,FALSE)=0,L3,L3+1)</f>
        <v/>
      </c>
      <c r="Q4" s="98" t="n"/>
    </row>
    <row r="5">
      <c r="A5" s="91" t="n"/>
      <c r="J5" s="92" t="n">
        <v>99</v>
      </c>
      <c r="K5" s="98" t="inlineStr">
        <is>
          <t>04</t>
        </is>
      </c>
      <c r="L5" s="92">
        <f>IF(VLOOKUP(J5,Xsection,2,FALSE)=0,L4,L4+1)</f>
        <v/>
      </c>
      <c r="Q5" s="98" t="n"/>
    </row>
    <row r="6">
      <c r="A6" s="91" t="n"/>
      <c r="Q6" s="98" t="n"/>
    </row>
    <row r="7">
      <c r="A7" s="91" t="n"/>
      <c r="E7" s="90" t="n"/>
      <c r="Q7" s="98" t="n"/>
    </row>
    <row r="8">
      <c r="A8" s="91" t="n"/>
      <c r="E8" s="90" t="n"/>
      <c r="Q8" s="98" t="n"/>
    </row>
    <row r="9">
      <c r="A9" s="91" t="n"/>
      <c r="E9" s="90" t="n"/>
      <c r="K9" s="98" t="n"/>
      <c r="Q9" s="98" t="n"/>
    </row>
    <row r="10">
      <c r="A10" s="91" t="n"/>
      <c r="E10" s="90" t="n"/>
      <c r="Q10" s="98" t="n"/>
    </row>
    <row r="11">
      <c r="A11" s="91" t="n"/>
      <c r="E11" s="90" t="n"/>
      <c r="Q11" s="98" t="n"/>
    </row>
    <row r="12">
      <c r="A12" s="91" t="n"/>
      <c r="E12" s="90" t="n"/>
      <c r="K12" s="98" t="n"/>
      <c r="Q12" s="98" t="n"/>
    </row>
    <row r="13">
      <c r="A13" s="91" t="n"/>
      <c r="E13" s="90" t="n"/>
      <c r="Q13" s="98" t="n"/>
    </row>
    <row r="14" ht="14.4" customHeight="1">
      <c r="A14" s="91" t="n"/>
      <c r="D14" s="94" t="n"/>
      <c r="E14" s="90" t="n"/>
      <c r="K14" s="98" t="n"/>
      <c r="Q14" s="98" t="n"/>
    </row>
    <row r="15" ht="14.4" customHeight="1">
      <c r="A15" s="91" t="n"/>
      <c r="D15" s="94" t="n"/>
      <c r="E15" s="90" t="n"/>
      <c r="Q15" s="98" t="n"/>
    </row>
    <row r="16">
      <c r="C16" s="87" t="n">
        <v>5</v>
      </c>
      <c r="Q16" s="98" t="n"/>
    </row>
    <row r="17">
      <c r="C17" s="87" t="n">
        <v>3</v>
      </c>
    </row>
    <row r="18">
      <c r="C18" s="87" t="n">
        <v>39</v>
      </c>
      <c r="K18" s="98" t="n"/>
    </row>
    <row r="19">
      <c r="C19" s="87" t="n">
        <v>24</v>
      </c>
      <c r="K19" s="98" t="n"/>
    </row>
    <row r="20">
      <c r="C20" s="87" t="n">
        <v>12</v>
      </c>
    </row>
    <row r="21">
      <c r="C21" s="87" t="n">
        <v>16</v>
      </c>
      <c r="K21" s="98" t="n"/>
    </row>
    <row r="22">
      <c r="C22" s="87" t="n">
        <v>8</v>
      </c>
    </row>
    <row r="23">
      <c r="C23" s="87" t="n">
        <v>80</v>
      </c>
      <c r="K23" s="98" t="n"/>
    </row>
    <row r="24">
      <c r="C24" s="87" t="n">
        <v>24</v>
      </c>
      <c r="K24" s="98" t="n"/>
    </row>
    <row r="25">
      <c r="E25" s="90" t="n"/>
    </row>
    <row r="26">
      <c r="E26" s="90" t="n"/>
    </row>
    <row r="28">
      <c r="E28" s="90" t="n"/>
    </row>
    <row r="29">
      <c r="A29" s="91" t="n"/>
    </row>
    <row r="30">
      <c r="A30" s="91" t="n"/>
    </row>
    <row r="31">
      <c r="A31" s="91" t="n"/>
    </row>
    <row r="32">
      <c r="A32" s="91" t="n"/>
      <c r="K32" s="98" t="n"/>
    </row>
    <row r="33">
      <c r="A33" s="91" t="n"/>
      <c r="K33" s="98" t="n"/>
    </row>
    <row r="34">
      <c r="K34" s="98" t="n"/>
    </row>
    <row r="104">
      <c r="A104" s="92" t="n">
        <v>99</v>
      </c>
      <c r="B104" s="92" t="n">
        <v>1</v>
      </c>
    </row>
  </sheetData>
  <pageMargins left="0.7" right="0.7" top="0.75" bottom="0.75" header="0.3" footer="0.3"/>
  <pageSetup orientation="portrait"/>
</worksheet>
</file>

<file path=xl/worksheets/sheet18.xml><?xml version="1.0" encoding="utf-8"?>
<worksheet xmlns="http://schemas.openxmlformats.org/spreadsheetml/2006/main">
  <sheetPr codeName="Sheet33">
    <outlinePr summaryBelow="1" summaryRight="1"/>
    <pageSetUpPr/>
  </sheetPr>
  <dimension ref="A1:D3"/>
  <sheetViews>
    <sheetView workbookViewId="0">
      <selection activeCell="D2" sqref="D2"/>
    </sheetView>
  </sheetViews>
  <sheetFormatPr baseColWidth="8" defaultColWidth="9.1640625" defaultRowHeight="14.4"/>
  <cols>
    <col width="8.83203125" bestFit="1" customWidth="1" style="49" min="1" max="1"/>
    <col width="13.44140625" bestFit="1" customWidth="1" style="49" min="2" max="2"/>
    <col width="9.1640625" customWidth="1" style="49" min="3" max="16384"/>
  </cols>
  <sheetData>
    <row r="1">
      <c r="A1" s="48" t="inlineStr">
        <is>
          <t>Company</t>
        </is>
      </c>
      <c r="B1" s="48" t="inlineStr">
        <is>
          <t>Total Members</t>
        </is>
      </c>
      <c r="C1" s="48" t="inlineStr">
        <is>
          <t>Males</t>
        </is>
      </c>
      <c r="D1" s="48" t="inlineStr">
        <is>
          <t>Females</t>
        </is>
      </c>
    </row>
    <row r="2">
      <c r="A2" s="48" t="inlineStr">
        <is>
          <t>A</t>
        </is>
      </c>
      <c r="B2" t="n">
        <v>30</v>
      </c>
      <c r="C2" t="n">
        <v>17</v>
      </c>
      <c r="D2" t="n">
        <v>13</v>
      </c>
    </row>
    <row r="3">
      <c r="A3" s="48" t="inlineStr">
        <is>
          <t>B</t>
        </is>
      </c>
      <c r="B3" t="n">
        <v>3</v>
      </c>
      <c r="C3" t="n">
        <v>0</v>
      </c>
      <c r="D3" t="n">
        <v>3</v>
      </c>
    </row>
  </sheetData>
  <pageMargins left="0.7" right="0.7" top="0.75" bottom="0.75" header="0.3" footer="0.3"/>
</worksheet>
</file>

<file path=xl/worksheets/sheet19.xml><?xml version="1.0" encoding="utf-8"?>
<worksheet xmlns="http://schemas.openxmlformats.org/spreadsheetml/2006/main">
  <sheetPr codeName="Sheet40">
    <outlinePr summaryBelow="1" summaryRight="1"/>
    <pageSetUpPr/>
  </sheetPr>
  <dimension ref="A1:D28"/>
  <sheetViews>
    <sheetView workbookViewId="0">
      <selection activeCell="A6" sqref="A6"/>
    </sheetView>
  </sheetViews>
  <sheetFormatPr baseColWidth="8" defaultColWidth="9.1640625" defaultRowHeight="12.3"/>
  <cols>
    <col width="39.71875" customWidth="1" style="56" min="1" max="1"/>
    <col width="9.1640625" customWidth="1" style="56" min="2" max="3"/>
    <col width="105" customWidth="1" style="56" min="4" max="4"/>
    <col width="9.1640625" customWidth="1" style="56" min="5" max="16384"/>
  </cols>
  <sheetData>
    <row r="1">
      <c r="A1" s="57" t="inlineStr">
        <is>
          <t>Path Extension For Additional Docs to be pasted</t>
        </is>
      </c>
    </row>
    <row r="2">
      <c r="A2" s="58" t="inlineStr">
        <is>
          <t>Additional Docs</t>
        </is>
      </c>
      <c r="C2" s="59" t="inlineStr">
        <is>
          <t>Full Path:</t>
        </is>
      </c>
      <c r="D2" s="60">
        <f>'Current Parameters'!A2  &amp; "\" &amp;A2</f>
        <v/>
      </c>
    </row>
    <row r="4">
      <c r="A4" s="56" t="inlineStr">
        <is>
          <t>id</t>
        </is>
      </c>
      <c r="B4" s="55" t="inlineStr">
        <is>
          <t>List of Docs</t>
        </is>
      </c>
    </row>
    <row r="5">
      <c r="A5" s="62" t="inlineStr">
        <is>
          <t>addsection01</t>
        </is>
      </c>
      <c r="B5" s="61">
        <f>"Add this " &amp; 'Current Parameters'!$A$11 &amp; ".docx"</f>
        <v/>
      </c>
    </row>
    <row r="6">
      <c r="A6" s="62" t="n"/>
      <c r="B6" s="61" t="n"/>
    </row>
    <row r="7">
      <c r="A7" s="62" t="n"/>
      <c r="B7" s="61" t="n"/>
    </row>
    <row r="8">
      <c r="A8" s="62" t="n"/>
      <c r="B8" s="61" t="n"/>
    </row>
    <row r="9">
      <c r="A9" s="62" t="n"/>
      <c r="B9" s="61" t="n"/>
    </row>
    <row r="10">
      <c r="A10" s="62" t="n"/>
      <c r="B10" s="61" t="n"/>
    </row>
    <row r="11">
      <c r="A11" s="62" t="n"/>
      <c r="B11" s="61" t="n"/>
    </row>
    <row r="12">
      <c r="A12" s="61" t="n"/>
      <c r="B12" s="61" t="n"/>
    </row>
    <row r="13">
      <c r="A13" s="61" t="n"/>
      <c r="B13" s="61" t="n"/>
    </row>
    <row r="14">
      <c r="A14" s="61" t="n"/>
      <c r="B14" s="61" t="n"/>
    </row>
    <row r="15">
      <c r="A15" s="61" t="n"/>
      <c r="B15" s="61" t="n"/>
    </row>
    <row r="16">
      <c r="A16" s="61" t="n"/>
      <c r="B16" s="61" t="n"/>
    </row>
    <row r="17">
      <c r="A17" s="61" t="n"/>
      <c r="B17" s="61" t="n"/>
    </row>
    <row r="18">
      <c r="A18" s="61" t="n"/>
      <c r="B18" s="61" t="n"/>
    </row>
    <row r="19">
      <c r="A19" s="61" t="n"/>
      <c r="B19" s="61" t="n"/>
    </row>
    <row r="20">
      <c r="A20" s="61" t="n"/>
      <c r="B20" s="61" t="n"/>
    </row>
    <row r="21">
      <c r="A21" s="61" t="n"/>
      <c r="B21" s="61" t="n"/>
    </row>
    <row r="22">
      <c r="A22" s="61" t="n"/>
      <c r="B22" s="61" t="n"/>
    </row>
    <row r="23">
      <c r="A23" s="61" t="n"/>
      <c r="B23" s="61" t="n"/>
    </row>
    <row r="24">
      <c r="A24" s="61" t="n"/>
      <c r="B24" s="61" t="n"/>
    </row>
    <row r="25">
      <c r="A25" s="61" t="n"/>
      <c r="B25" s="61" t="n"/>
    </row>
    <row r="26">
      <c r="A26" s="61" t="n"/>
      <c r="B26" s="61" t="n"/>
    </row>
    <row r="27">
      <c r="A27" s="61" t="n"/>
      <c r="B27" s="61" t="n"/>
    </row>
    <row r="28">
      <c r="A28" s="61" t="n"/>
      <c r="B28" s="61" t="n"/>
    </row>
  </sheetData>
  <pageMargins left="0.7" right="0.7" top="0.75" bottom="0.75" header="0.3" footer="0.3"/>
  <pageSetup orientation="portrait"/>
</worksheet>
</file>

<file path=xl/worksheets/sheet20.xml><?xml version="1.0" encoding="utf-8"?>
<worksheet xmlns="http://schemas.openxmlformats.org/spreadsheetml/2006/main">
  <sheetPr codeName="Sheet4">
    <outlinePr summaryBelow="1" summaryRight="1"/>
    <pageSetUpPr/>
  </sheetPr>
  <dimension ref="A1:E4"/>
  <sheetViews>
    <sheetView workbookViewId="0">
      <selection activeCell="A4" sqref="A4"/>
    </sheetView>
  </sheetViews>
  <sheetFormatPr baseColWidth="8" defaultColWidth="9.1640625" defaultRowHeight="12.3"/>
  <cols>
    <col width="9.1640625" customWidth="1" style="87" min="1" max="16384"/>
  </cols>
  <sheetData>
    <row r="1" ht="14.1" customHeight="1">
      <c r="A1" s="102" t="inlineStr">
        <is>
          <t>Date</t>
        </is>
      </c>
      <c r="B1" s="101" t="n"/>
      <c r="C1" s="101" t="n"/>
      <c r="D1" s="101" t="n"/>
      <c r="E1" s="101" t="n"/>
    </row>
    <row r="2" ht="14.1" customHeight="1">
      <c r="A2" s="103">
        <f>TODAY()</f>
        <v/>
      </c>
      <c r="B2" s="103">
        <f>DAY(A2)</f>
        <v/>
      </c>
      <c r="C2" s="103">
        <f>MONTH(A2)</f>
        <v/>
      </c>
      <c r="D2" s="103">
        <f>YEAR(A2)</f>
        <v/>
      </c>
      <c r="E2" s="103">
        <f>D2 &amp;C2 &amp;B2</f>
        <v/>
      </c>
    </row>
    <row r="4">
      <c r="A4" s="88" t="inlineStr">
        <is>
          <t>This sheet is to assist in constructing a date, perhaps to be deployed in the report (e.g. the header).</t>
        </is>
      </c>
    </row>
  </sheetData>
  <pageMargins left="0.7" right="0.7" top="0.75" bottom="0.75" header="0.3" footer="0.3"/>
</worksheet>
</file>

<file path=xl/worksheets/sheet21.xml><?xml version="1.0" encoding="utf-8"?>
<worksheet xmlns="http://schemas.openxmlformats.org/spreadsheetml/2006/main">
  <sheetPr>
    <outlinePr summaryBelow="1" summaryRight="1"/>
    <pageSetUpPr/>
  </sheetPr>
  <dimension ref="A1:F13"/>
  <sheetViews>
    <sheetView workbookViewId="0">
      <selection activeCell="M8" sqref="M8"/>
    </sheetView>
  </sheetViews>
  <sheetFormatPr baseColWidth="8" defaultRowHeight="12.3"/>
  <cols>
    <col width="14" customWidth="1" style="151" min="1" max="1"/>
    <col width="8.88671875" customWidth="1" style="151" min="2" max="2"/>
    <col width="10.5546875" bestFit="1" customWidth="1" min="6" max="6"/>
  </cols>
  <sheetData>
    <row r="1" ht="12.6" customHeight="1" thickBot="1">
      <c r="A1" s="153" t="inlineStr">
        <is>
          <t>Find</t>
        </is>
      </c>
      <c r="B1" s="153" t="inlineStr">
        <is>
          <t>Replace</t>
        </is>
      </c>
    </row>
    <row r="2">
      <c r="A2" s="152" t="inlineStr">
        <is>
          <t>99999</t>
        </is>
      </c>
      <c r="B2" s="152" t="inlineStr">
        <is>
          <t>N/A</t>
        </is>
      </c>
    </row>
    <row r="3">
      <c r="A3" s="152" t="inlineStr">
        <is>
          <t>9,999,900.0%</t>
        </is>
      </c>
      <c r="B3" s="152" t="inlineStr">
        <is>
          <t>N/A</t>
        </is>
      </c>
    </row>
    <row r="4">
      <c r="A4" s="152" t="inlineStr">
        <is>
          <t>$99,999.0</t>
        </is>
      </c>
      <c r="B4" s="152" t="inlineStr">
        <is>
          <t>N/A</t>
        </is>
      </c>
    </row>
    <row r="5">
      <c r="A5" s="152" t="inlineStr">
        <is>
          <t>99,999.0</t>
        </is>
      </c>
      <c r="B5" s="152" t="inlineStr">
        <is>
          <t>N/A</t>
        </is>
      </c>
    </row>
    <row r="6">
      <c r="A6" s="152" t="inlineStr">
        <is>
          <t>99,999</t>
        </is>
      </c>
      <c r="B6" s="152" t="inlineStr">
        <is>
          <t>N/A</t>
        </is>
      </c>
    </row>
    <row r="7">
      <c r="A7" s="152" t="inlineStr">
        <is>
          <t>-3,149</t>
        </is>
      </c>
      <c r="B7" s="152" t="inlineStr">
        <is>
          <t>N/A</t>
        </is>
      </c>
    </row>
    <row r="8">
      <c r="A8" s="152" t="inlineStr">
        <is>
          <t>-3,149.0</t>
        </is>
      </c>
      <c r="B8" s="152" t="inlineStr">
        <is>
          <t>N/A</t>
        </is>
      </c>
      <c r="F8" s="183" t="n"/>
    </row>
    <row r="9">
      <c r="A9" s="152" t="inlineStr">
        <is>
          <t>-3149</t>
        </is>
      </c>
      <c r="B9" s="152" t="inlineStr">
        <is>
          <t>N/A</t>
        </is>
      </c>
    </row>
    <row r="10">
      <c r="A10" s="152" t="inlineStr">
        <is>
          <t>-$3,149</t>
        </is>
      </c>
      <c r="B10" s="152" t="inlineStr">
        <is>
          <t>N/A</t>
        </is>
      </c>
    </row>
    <row r="11">
      <c r="A11" s="152" t="inlineStr">
        <is>
          <t>-$3149.0</t>
        </is>
      </c>
      <c r="B11" s="152" t="inlineStr">
        <is>
          <t>N/A</t>
        </is>
      </c>
    </row>
    <row r="12">
      <c r="A12" s="152" t="inlineStr">
        <is>
          <t>-314,900%</t>
        </is>
      </c>
      <c r="B12" s="152" t="inlineStr">
        <is>
          <t>N/A</t>
        </is>
      </c>
    </row>
    <row r="13">
      <c r="A13" s="152" t="inlineStr">
        <is>
          <t>-314,900.0%</t>
        </is>
      </c>
      <c r="B13" s="152" t="inlineStr">
        <is>
          <t>N/A</t>
        </is>
      </c>
    </row>
  </sheetData>
  <pageMargins left="0.7" right="0.7" top="0.75" bottom="0.75" header="0.3" footer="0.3"/>
  <pageSetup orientation="portrait" horizontalDpi="0" verticalDpi="0"/>
  <legacyDrawing xmlns:r="http://schemas.openxmlformats.org/officeDocument/2006/relationships" r:id="anysvml"/>
</worksheet>
</file>

<file path=xl/worksheets/sheet22.xml><?xml version="1.0" encoding="utf-8"?>
<worksheet xmlns="http://schemas.openxmlformats.org/spreadsheetml/2006/main">
  <sheetPr codeName="Sheet16">
    <outlinePr summaryBelow="1" summaryRight="1"/>
    <pageSetUpPr/>
  </sheetPr>
  <dimension ref="A1:F1"/>
  <sheetViews>
    <sheetView workbookViewId="0">
      <selection activeCell="C2" sqref="C2"/>
    </sheetView>
  </sheetViews>
  <sheetFormatPr baseColWidth="8" defaultRowHeight="12.3"/>
  <sheetData>
    <row r="1" ht="13.8" customHeight="1">
      <c r="A1" s="148" t="inlineStr">
        <is>
          <t>D:\Brian\Report Writer Template\Results\CompB_Table1.csv</t>
        </is>
      </c>
      <c r="B1" s="148" t="inlineStr">
        <is>
          <t>$A$2:$B$2</t>
        </is>
      </c>
      <c r="C1" s="148" t="inlineStr">
        <is>
          <t>tablem01</t>
        </is>
      </c>
      <c r="D1" s="148" t="inlineStr">
        <is>
          <t>table1</t>
        </is>
      </c>
      <c r="E1" s="148" t="n">
        <v>2</v>
      </c>
      <c r="F1" s="148" t="inlineStr">
        <is>
          <t>format1Generalformat2#,##0</t>
        </is>
      </c>
    </row>
  </sheetData>
  <pageMargins left="0.7" right="0.7" top="0.75" bottom="0.75" header="0.3" footer="0.3"/>
</worksheet>
</file>

<file path=xl/worksheets/sheet23.xml><?xml version="1.0" encoding="utf-8"?>
<worksheet xmlns="http://schemas.openxmlformats.org/spreadsheetml/2006/main">
  <sheetPr codeName="Sheet24">
    <outlinePr summaryBelow="1" summaryRight="1"/>
    <pageSetUpPr/>
  </sheetPr>
  <dimension ref="A1:M173"/>
  <sheetViews>
    <sheetView zoomScaleNormal="100" workbookViewId="0">
      <selection activeCell="C2" sqref="C2"/>
    </sheetView>
  </sheetViews>
  <sheetFormatPr baseColWidth="8" defaultColWidth="9.1640625" defaultRowHeight="14.1"/>
  <cols>
    <col width="71.38671875" customWidth="1" style="6" min="1" max="1"/>
    <col width="11.27734375" bestFit="1" customWidth="1" style="6" min="2" max="2"/>
    <col width="11.1640625" bestFit="1" customWidth="1" style="6" min="3" max="3"/>
    <col width="14.1640625" customWidth="1" style="6" min="4" max="4"/>
    <col width="10.38671875" customWidth="1" style="6" min="5" max="5"/>
    <col width="15.83203125" customWidth="1" style="6" min="6" max="6"/>
    <col width="13.1640625" customWidth="1" style="148" min="7" max="7"/>
    <col width="9.1640625" customWidth="1" style="6" min="8" max="12"/>
    <col width="132" bestFit="1" customWidth="1" style="148" min="13" max="13"/>
    <col width="9.1640625" customWidth="1" style="6" min="14" max="16384"/>
  </cols>
  <sheetData>
    <row r="1" ht="13.8" customHeight="1">
      <c r="A1" s="148" t="inlineStr">
        <is>
          <t>D:\Brian\Report Writer Template\Results\Compxxyyzz_Table1.csv</t>
        </is>
      </c>
      <c r="B1" s="148" t="inlineStr">
        <is>
          <t>$A$2:$B$2</t>
        </is>
      </c>
      <c r="C1" s="148" t="inlineStr">
        <is>
          <t>tablem01</t>
        </is>
      </c>
      <c r="D1" s="148" t="inlineStr">
        <is>
          <t>table1</t>
        </is>
      </c>
      <c r="E1" s="148" t="n">
        <v>2</v>
      </c>
      <c r="F1" s="148" t="inlineStr">
        <is>
          <t>format1Generalformat2#,##0</t>
        </is>
      </c>
    </row>
    <row r="2">
      <c r="A2" s="148" t="n"/>
      <c r="B2" s="148" t="n"/>
      <c r="C2" s="148" t="n"/>
      <c r="D2" s="148" t="n"/>
      <c r="E2" s="148" t="n"/>
      <c r="F2" s="148" t="n"/>
    </row>
    <row r="3">
      <c r="A3" s="148" t="n"/>
      <c r="B3" s="148" t="n"/>
      <c r="C3" s="148" t="n"/>
      <c r="D3" s="148" t="n"/>
      <c r="E3" s="148" t="n"/>
      <c r="F3" s="148" t="n"/>
    </row>
    <row r="4">
      <c r="A4" s="148" t="n"/>
      <c r="B4" s="148" t="n"/>
      <c r="C4" s="148" t="n"/>
      <c r="D4" s="148" t="n"/>
      <c r="E4" s="148" t="n"/>
      <c r="F4" s="148" t="n"/>
    </row>
    <row r="5">
      <c r="A5" s="148" t="n"/>
      <c r="B5" s="148" t="n"/>
      <c r="C5" s="148" t="n"/>
      <c r="D5" s="148" t="n"/>
      <c r="E5" s="148" t="n"/>
      <c r="F5" s="148" t="n"/>
    </row>
    <row r="6">
      <c r="A6" s="148" t="n"/>
      <c r="B6" s="148" t="n"/>
      <c r="C6" s="148" t="n"/>
      <c r="D6" s="148" t="n"/>
      <c r="E6" s="148" t="n"/>
      <c r="F6" s="148" t="n"/>
    </row>
    <row r="7">
      <c r="A7" s="148" t="n"/>
      <c r="B7" s="148" t="n"/>
      <c r="C7" s="148" t="n"/>
      <c r="D7" s="148" t="n"/>
      <c r="E7" s="148" t="n"/>
      <c r="F7" s="148" t="n"/>
    </row>
    <row r="8">
      <c r="A8" s="148" t="n"/>
      <c r="B8" s="148" t="n"/>
      <c r="C8" s="148" t="n"/>
      <c r="D8" s="148" t="n"/>
      <c r="E8" s="148" t="n"/>
      <c r="F8" s="148" t="n"/>
    </row>
    <row r="9">
      <c r="A9" s="148" t="n"/>
      <c r="B9" s="148" t="n"/>
      <c r="C9" s="148" t="n"/>
      <c r="D9" s="148" t="n"/>
      <c r="E9" s="148" t="n"/>
      <c r="F9" s="148" t="n"/>
    </row>
    <row r="10">
      <c r="A10" s="148" t="n"/>
      <c r="B10" s="148" t="n"/>
      <c r="C10" s="148" t="n"/>
      <c r="D10" s="148" t="n"/>
      <c r="E10" s="148" t="n"/>
      <c r="F10" s="148" t="n"/>
    </row>
    <row r="11">
      <c r="A11" s="148" t="n"/>
      <c r="B11" s="148" t="n"/>
      <c r="C11" s="148" t="n"/>
      <c r="D11" s="148" t="n"/>
      <c r="E11" s="148" t="n"/>
      <c r="F11" s="148" t="n"/>
    </row>
    <row r="12">
      <c r="A12" s="148" t="n"/>
      <c r="B12" s="148" t="n"/>
      <c r="C12" s="148" t="n"/>
      <c r="D12" s="148" t="n"/>
      <c r="E12" s="148" t="n"/>
      <c r="F12" s="148" t="n"/>
    </row>
    <row r="13">
      <c r="A13" s="148" t="n"/>
      <c r="B13" s="148" t="n"/>
      <c r="C13" s="148" t="n"/>
      <c r="D13" s="148" t="n"/>
      <c r="E13" s="148" t="n"/>
      <c r="F13" s="148" t="n"/>
    </row>
    <row r="14">
      <c r="A14" s="148" t="n"/>
      <c r="B14" s="148" t="n"/>
      <c r="C14" s="148" t="n"/>
      <c r="D14" s="148" t="n"/>
      <c r="E14" s="148" t="n"/>
      <c r="F14" s="148" t="n"/>
    </row>
    <row r="15">
      <c r="A15" s="148" t="n"/>
      <c r="B15" s="148" t="n"/>
      <c r="C15" s="148" t="n"/>
      <c r="D15" s="148" t="n"/>
      <c r="E15" s="148" t="n"/>
      <c r="F15" s="148" t="n"/>
    </row>
    <row r="16">
      <c r="A16" s="148" t="n"/>
      <c r="B16" s="148" t="n"/>
      <c r="C16" s="148" t="n"/>
      <c r="D16" s="148" t="n"/>
      <c r="E16" s="148" t="n"/>
      <c r="F16" s="148" t="n"/>
    </row>
    <row r="17">
      <c r="A17" s="148" t="n"/>
      <c r="B17" s="148" t="n"/>
      <c r="C17" s="148" t="n"/>
      <c r="D17" s="148" t="n"/>
      <c r="E17" s="148" t="n"/>
      <c r="F17" s="148" t="n"/>
    </row>
    <row r="18">
      <c r="A18" s="148" t="n"/>
      <c r="B18" s="148" t="n"/>
      <c r="C18" s="148" t="n"/>
      <c r="D18" s="148" t="n"/>
      <c r="E18" s="148" t="n"/>
      <c r="F18" s="148" t="n"/>
    </row>
    <row r="19">
      <c r="A19" s="148" t="n"/>
      <c r="B19" s="148" t="n"/>
      <c r="C19" s="148" t="n"/>
      <c r="D19" s="148" t="n"/>
      <c r="E19" s="148" t="n"/>
      <c r="F19" s="148" t="n"/>
    </row>
    <row r="20">
      <c r="A20" s="148" t="n"/>
      <c r="B20" s="148" t="n"/>
      <c r="C20" s="148" t="n"/>
      <c r="D20" s="148" t="n"/>
      <c r="E20" s="148" t="n"/>
      <c r="F20" s="148" t="n"/>
    </row>
    <row r="21">
      <c r="A21" s="148" t="n"/>
      <c r="B21" s="148" t="n"/>
      <c r="C21" s="148" t="n"/>
      <c r="D21" s="148" t="n"/>
      <c r="E21" s="148" t="n"/>
      <c r="F21" s="148" t="n"/>
    </row>
    <row r="22">
      <c r="A22" s="148" t="n"/>
      <c r="B22" s="148" t="n"/>
      <c r="C22" s="148" t="n"/>
      <c r="D22" s="148" t="n"/>
      <c r="E22" s="148" t="n"/>
      <c r="F22" s="148" t="n"/>
    </row>
    <row r="23">
      <c r="A23" s="148" t="n"/>
      <c r="B23" s="148" t="n"/>
      <c r="C23" s="148" t="n"/>
      <c r="D23" s="148" t="n"/>
      <c r="E23" s="148" t="n"/>
      <c r="F23" s="148" t="n"/>
    </row>
    <row r="24">
      <c r="A24" s="148" t="n"/>
      <c r="B24" s="148" t="n"/>
      <c r="C24" s="148" t="n"/>
      <c r="D24" s="148" t="n"/>
      <c r="E24" s="148" t="n"/>
      <c r="F24" s="148" t="n"/>
    </row>
    <row r="25">
      <c r="A25" s="148" t="n"/>
      <c r="B25" s="148" t="n"/>
      <c r="C25" s="148" t="n"/>
      <c r="D25" s="148" t="n"/>
      <c r="E25" s="148" t="n"/>
      <c r="F25" s="148" t="n"/>
    </row>
    <row r="26">
      <c r="A26" s="148" t="n"/>
      <c r="B26" s="148" t="n"/>
      <c r="C26" s="148" t="n"/>
      <c r="D26" s="148" t="n"/>
      <c r="E26" s="148" t="n"/>
      <c r="F26" s="148" t="n"/>
    </row>
    <row r="27">
      <c r="A27" s="148" t="n"/>
      <c r="B27" s="148" t="n"/>
      <c r="C27" s="148" t="n"/>
      <c r="D27" s="148" t="n"/>
      <c r="E27" s="148" t="n"/>
      <c r="F27" s="148" t="n"/>
    </row>
    <row r="28">
      <c r="A28" s="148" t="n"/>
      <c r="B28" s="148" t="n"/>
      <c r="C28" s="148" t="n"/>
      <c r="D28" s="148" t="n"/>
      <c r="E28" s="148" t="n"/>
      <c r="F28" s="148" t="n"/>
    </row>
    <row r="29">
      <c r="A29" s="148" t="n"/>
      <c r="B29" s="148" t="n"/>
      <c r="C29" s="148" t="n"/>
      <c r="D29" s="148" t="n"/>
      <c r="E29" s="148" t="n"/>
      <c r="F29" s="148" t="n"/>
    </row>
    <row r="30">
      <c r="A30" s="148" t="n"/>
      <c r="B30" s="148" t="n"/>
      <c r="C30" s="148" t="n"/>
      <c r="D30" s="148" t="n"/>
      <c r="E30" s="148" t="n"/>
      <c r="F30" s="148" t="n"/>
    </row>
    <row r="31">
      <c r="A31" s="148" t="n"/>
      <c r="B31" s="148" t="n"/>
      <c r="C31" s="148" t="n"/>
      <c r="D31" s="148" t="n"/>
      <c r="E31" s="148" t="n"/>
      <c r="F31" s="148" t="n"/>
    </row>
    <row r="32">
      <c r="A32" s="148" t="n"/>
      <c r="B32" s="148" t="n"/>
      <c r="C32" s="148" t="n"/>
      <c r="D32" s="148" t="n"/>
      <c r="E32" s="148" t="n"/>
      <c r="F32" s="148" t="n"/>
    </row>
    <row r="33">
      <c r="A33" s="148" t="n"/>
      <c r="B33" s="148" t="n"/>
      <c r="C33" s="148" t="n"/>
      <c r="D33" s="148" t="n"/>
      <c r="E33" s="148" t="n"/>
      <c r="F33" s="148" t="n"/>
    </row>
    <row r="34">
      <c r="A34" s="148" t="n"/>
      <c r="B34" s="148" t="n"/>
      <c r="C34" s="148" t="n"/>
      <c r="D34" s="148" t="n"/>
      <c r="E34" s="148" t="n"/>
      <c r="F34" s="148" t="n"/>
    </row>
    <row r="35">
      <c r="A35" s="148" t="n"/>
      <c r="B35" s="148" t="n"/>
      <c r="C35" s="148" t="n"/>
      <c r="D35" s="148" t="n"/>
      <c r="E35" s="148" t="n"/>
      <c r="F35" s="148" t="n"/>
    </row>
    <row r="36">
      <c r="A36" s="148" t="n"/>
      <c r="B36" s="148" t="n"/>
      <c r="C36" s="148" t="n"/>
      <c r="D36" s="148" t="n"/>
      <c r="E36" s="148" t="n"/>
      <c r="F36" s="148" t="n"/>
    </row>
    <row r="37">
      <c r="A37" s="148" t="n"/>
      <c r="B37" s="148" t="n"/>
      <c r="C37" s="148" t="n"/>
      <c r="D37" s="148" t="n"/>
      <c r="E37" s="148" t="n"/>
      <c r="F37" s="148" t="n"/>
    </row>
    <row r="38">
      <c r="A38" s="148" t="n"/>
      <c r="B38" s="148" t="n"/>
      <c r="C38" s="148" t="n"/>
      <c r="D38" s="148" t="n"/>
      <c r="E38" s="148" t="n"/>
      <c r="F38" s="148" t="n"/>
    </row>
    <row r="39">
      <c r="A39" s="148" t="n"/>
      <c r="B39" s="148" t="n"/>
      <c r="C39" s="148" t="n"/>
      <c r="D39" s="148" t="n"/>
      <c r="E39" s="148" t="n"/>
      <c r="F39" s="148" t="n"/>
    </row>
    <row r="40">
      <c r="A40" s="148" t="n"/>
      <c r="B40" s="148" t="n"/>
      <c r="C40" s="148" t="n"/>
      <c r="D40" s="148" t="n"/>
      <c r="E40" s="148" t="n"/>
      <c r="F40" s="148" t="n"/>
    </row>
    <row r="41">
      <c r="A41" s="148" t="n"/>
      <c r="B41" s="148" t="n"/>
      <c r="C41" s="148" t="n"/>
      <c r="D41" s="148" t="n"/>
      <c r="E41" s="148" t="n"/>
      <c r="F41" s="148" t="n"/>
    </row>
    <row r="42">
      <c r="A42" s="148" t="n"/>
      <c r="B42" s="148" t="n"/>
      <c r="C42" s="148" t="n"/>
      <c r="D42" s="148" t="n"/>
      <c r="E42" s="148" t="n"/>
      <c r="F42" s="148" t="n"/>
    </row>
    <row r="43">
      <c r="A43" s="148" t="n"/>
      <c r="B43" s="148" t="n"/>
      <c r="C43" s="148" t="n"/>
      <c r="D43" s="148" t="n"/>
      <c r="E43" s="148" t="n"/>
      <c r="F43" s="148" t="n"/>
    </row>
    <row r="44">
      <c r="A44" s="148" t="n"/>
      <c r="B44" s="148" t="n"/>
      <c r="C44" s="148" t="n"/>
      <c r="D44" s="148" t="n"/>
      <c r="E44" s="148" t="n"/>
      <c r="F44" s="148" t="n"/>
    </row>
    <row r="45">
      <c r="A45" s="148" t="n"/>
      <c r="B45" s="148" t="n"/>
      <c r="C45" s="148" t="n"/>
      <c r="D45" s="148" t="n"/>
      <c r="E45" s="148" t="n"/>
      <c r="F45" s="148" t="n"/>
    </row>
    <row r="46">
      <c r="A46" s="148" t="n"/>
      <c r="B46" s="148" t="n"/>
      <c r="C46" s="148" t="n"/>
      <c r="D46" s="148" t="n"/>
      <c r="E46" s="148" t="n"/>
      <c r="F46" s="148" t="n"/>
    </row>
    <row r="47">
      <c r="A47" s="148" t="n"/>
      <c r="B47" s="148" t="n"/>
      <c r="C47" s="148" t="n"/>
      <c r="D47" s="148" t="n"/>
      <c r="E47" s="148" t="n"/>
      <c r="F47" s="148" t="n"/>
    </row>
    <row r="48">
      <c r="A48" s="148" t="n"/>
      <c r="B48" s="148" t="n"/>
      <c r="C48" s="148" t="n"/>
      <c r="D48" s="148" t="n"/>
      <c r="E48" s="148" t="n"/>
      <c r="F48" s="148" t="n"/>
    </row>
    <row r="49">
      <c r="A49" s="148" t="n"/>
      <c r="B49" s="148" t="n"/>
      <c r="C49" s="148" t="n"/>
      <c r="D49" s="148" t="n"/>
      <c r="E49" s="148" t="n"/>
      <c r="F49" s="148" t="n"/>
    </row>
    <row r="50">
      <c r="A50" s="148" t="n"/>
      <c r="B50" s="148" t="n"/>
      <c r="C50" s="148" t="n"/>
      <c r="D50" s="148" t="n"/>
      <c r="E50" s="148" t="n"/>
      <c r="F50" s="148" t="n"/>
    </row>
    <row r="51">
      <c r="A51" s="148" t="n"/>
      <c r="B51" s="148" t="n"/>
      <c r="C51" s="148" t="n"/>
      <c r="D51" s="148" t="n"/>
      <c r="E51" s="148" t="n"/>
      <c r="F51" s="148" t="n"/>
    </row>
    <row r="52">
      <c r="A52" s="148" t="n"/>
      <c r="B52" s="148" t="n"/>
      <c r="C52" s="148" t="n"/>
      <c r="D52" s="148" t="n"/>
      <c r="E52" s="148" t="n"/>
      <c r="F52" s="148" t="n"/>
    </row>
    <row r="53">
      <c r="A53" s="148" t="n"/>
      <c r="B53" s="148" t="n"/>
      <c r="C53" s="148" t="n"/>
      <c r="D53" s="148" t="n"/>
      <c r="E53" s="148" t="n"/>
      <c r="F53" s="148" t="n"/>
    </row>
    <row r="54">
      <c r="A54" s="148" t="n"/>
      <c r="B54" s="148" t="n"/>
      <c r="C54" s="148" t="n"/>
      <c r="D54" s="148" t="n"/>
      <c r="E54" s="148" t="n"/>
      <c r="F54" s="148" t="n"/>
    </row>
    <row r="55">
      <c r="A55" s="148" t="n"/>
      <c r="B55" s="148" t="n"/>
      <c r="C55" s="148" t="n"/>
      <c r="D55" s="148" t="n"/>
      <c r="E55" s="148" t="n"/>
      <c r="F55" s="148" t="n"/>
    </row>
    <row r="56">
      <c r="A56" s="148" t="n"/>
      <c r="B56" s="148" t="n"/>
      <c r="C56" s="148" t="n"/>
      <c r="D56" s="148" t="n"/>
      <c r="E56" s="148" t="n"/>
      <c r="F56" s="148" t="n"/>
    </row>
    <row r="57">
      <c r="A57" s="148" t="n"/>
      <c r="B57" s="148" t="n"/>
      <c r="C57" s="148" t="n"/>
      <c r="D57" s="148" t="n"/>
      <c r="E57" s="148" t="n"/>
      <c r="F57" s="148" t="n"/>
    </row>
    <row r="58">
      <c r="A58" s="148" t="n"/>
      <c r="B58" s="148" t="n"/>
      <c r="C58" s="148" t="n"/>
      <c r="D58" s="148" t="n"/>
      <c r="E58" s="148" t="n"/>
      <c r="F58" s="148" t="n"/>
    </row>
    <row r="59">
      <c r="A59" s="148" t="n"/>
      <c r="B59" s="148" t="n"/>
      <c r="C59" s="148" t="n"/>
      <c r="D59" s="148" t="n"/>
      <c r="E59" s="148" t="n"/>
      <c r="F59" s="148" t="n"/>
    </row>
    <row r="60">
      <c r="A60" s="148" t="n"/>
      <c r="B60" s="148" t="n"/>
      <c r="C60" s="148" t="n"/>
      <c r="D60" s="148" t="n"/>
      <c r="E60" s="148" t="n"/>
      <c r="F60" s="148" t="n"/>
    </row>
    <row r="61">
      <c r="A61" s="148" t="n"/>
      <c r="B61" s="148" t="n"/>
      <c r="C61" s="148" t="n"/>
      <c r="D61" s="148" t="n"/>
      <c r="E61" s="148" t="n"/>
      <c r="F61" s="148" t="n"/>
    </row>
    <row r="62">
      <c r="A62" s="148" t="n"/>
      <c r="B62" s="148" t="n"/>
      <c r="C62" s="148" t="n"/>
      <c r="D62" s="148" t="n"/>
      <c r="E62" s="148" t="n"/>
      <c r="F62" s="148" t="n"/>
    </row>
    <row r="63">
      <c r="A63" s="148" t="n"/>
      <c r="B63" s="148" t="n"/>
      <c r="C63" s="148" t="n"/>
      <c r="D63" s="148" t="n"/>
      <c r="E63" s="148" t="n"/>
      <c r="F63" s="148" t="n"/>
    </row>
    <row r="64">
      <c r="A64" s="148" t="n"/>
      <c r="B64" s="148" t="n"/>
      <c r="C64" s="148" t="n"/>
      <c r="D64" s="148" t="n"/>
      <c r="E64" s="148" t="n"/>
      <c r="F64" s="148" t="n"/>
    </row>
    <row r="65">
      <c r="A65" s="148" t="n"/>
      <c r="B65" s="148" t="n"/>
      <c r="C65" s="148" t="n"/>
      <c r="D65" s="148" t="n"/>
      <c r="E65" s="148" t="n"/>
      <c r="F65" s="148" t="n"/>
    </row>
    <row r="66">
      <c r="A66" s="148" t="n"/>
      <c r="B66" s="148" t="n"/>
      <c r="C66" s="148" t="n"/>
      <c r="D66" s="148" t="n"/>
      <c r="E66" s="148" t="n"/>
      <c r="F66" s="148" t="n"/>
    </row>
    <row r="67">
      <c r="A67" s="148" t="n"/>
      <c r="B67" s="148" t="n"/>
      <c r="C67" s="148" t="n"/>
      <c r="D67" s="148" t="n"/>
      <c r="E67" s="148" t="n"/>
      <c r="F67" s="148" t="n"/>
    </row>
    <row r="68">
      <c r="A68" s="148" t="n"/>
      <c r="B68" s="148" t="n"/>
      <c r="C68" s="148" t="n"/>
      <c r="D68" s="148" t="n"/>
      <c r="E68" s="148" t="n"/>
      <c r="F68" s="148" t="n"/>
    </row>
    <row r="69">
      <c r="A69" s="148" t="n"/>
      <c r="B69" s="148" t="n"/>
      <c r="C69" s="148" t="n"/>
      <c r="D69" s="148" t="n"/>
      <c r="E69" s="148" t="n"/>
      <c r="F69" s="148" t="n"/>
    </row>
    <row r="70">
      <c r="A70" s="148" t="n"/>
      <c r="B70" s="148" t="n"/>
      <c r="C70" s="148" t="n"/>
      <c r="D70" s="148" t="n"/>
      <c r="E70" s="148" t="n"/>
      <c r="F70" s="148" t="n"/>
    </row>
    <row r="71">
      <c r="A71" s="148" t="n"/>
      <c r="B71" s="148" t="n"/>
      <c r="C71" s="148" t="n"/>
      <c r="D71" s="148" t="n"/>
      <c r="E71" s="148" t="n"/>
      <c r="F71" s="148" t="n"/>
    </row>
    <row r="72">
      <c r="A72" s="148" t="n"/>
      <c r="B72" s="148" t="n"/>
      <c r="C72" s="148" t="n"/>
      <c r="D72" s="148" t="n"/>
      <c r="E72" s="148" t="n"/>
      <c r="F72" s="148" t="n"/>
    </row>
    <row r="73">
      <c r="A73" s="148" t="n"/>
      <c r="B73" s="148" t="n"/>
      <c r="C73" s="148" t="n"/>
      <c r="D73" s="148" t="n"/>
      <c r="E73" s="148" t="n"/>
      <c r="F73" s="148" t="n"/>
    </row>
    <row r="74">
      <c r="A74" s="148" t="n"/>
      <c r="B74" s="148" t="n"/>
      <c r="C74" s="148" t="n"/>
      <c r="D74" s="148" t="n"/>
      <c r="E74" s="148" t="n"/>
      <c r="F74" s="148" t="n"/>
    </row>
    <row r="75">
      <c r="A75" s="148" t="n"/>
      <c r="B75" s="148" t="n"/>
      <c r="C75" s="148" t="n"/>
      <c r="D75" s="148" t="n"/>
      <c r="E75" s="148" t="n"/>
      <c r="F75" s="148" t="n"/>
    </row>
    <row r="76">
      <c r="A76" s="148" t="n"/>
      <c r="B76" s="148" t="n"/>
      <c r="C76" s="148" t="n"/>
      <c r="D76" s="148" t="n"/>
      <c r="E76" s="148" t="n"/>
      <c r="F76" s="148" t="n"/>
    </row>
    <row r="77">
      <c r="A77" s="148" t="n"/>
      <c r="B77" s="148" t="n"/>
      <c r="C77" s="148" t="n"/>
      <c r="D77" s="148" t="n"/>
      <c r="E77" s="148" t="n"/>
      <c r="F77" s="148" t="n"/>
    </row>
    <row r="78">
      <c r="A78" s="148" t="n"/>
      <c r="B78" s="148" t="n"/>
      <c r="C78" s="148" t="n"/>
      <c r="D78" s="148" t="n"/>
      <c r="E78" s="148" t="n"/>
      <c r="F78" s="148" t="n"/>
    </row>
    <row r="79">
      <c r="A79" s="148" t="n"/>
      <c r="B79" s="148" t="n"/>
      <c r="C79" s="148" t="n"/>
      <c r="D79" s="148" t="n"/>
      <c r="E79" s="148" t="n"/>
      <c r="F79" s="148" t="n"/>
    </row>
    <row r="80">
      <c r="A80" s="148" t="n"/>
      <c r="B80" s="148" t="n"/>
      <c r="C80" s="148" t="n"/>
      <c r="D80" s="148" t="n"/>
      <c r="E80" s="148" t="n"/>
      <c r="F80" s="148" t="n"/>
    </row>
    <row r="81">
      <c r="A81" s="148" t="n"/>
      <c r="B81" s="148" t="n"/>
      <c r="C81" s="148" t="n"/>
      <c r="D81" s="148" t="n"/>
      <c r="E81" s="148" t="n"/>
      <c r="F81" s="148" t="n"/>
    </row>
    <row r="82">
      <c r="A82" s="148" t="n"/>
      <c r="B82" s="148" t="n"/>
      <c r="C82" s="148" t="n"/>
      <c r="D82" s="148" t="n"/>
      <c r="E82" s="148" t="n"/>
      <c r="F82" s="148" t="n"/>
    </row>
    <row r="83">
      <c r="A83" s="148" t="n"/>
      <c r="B83" s="148" t="n"/>
      <c r="C83" s="148" t="n"/>
      <c r="D83" s="148" t="n"/>
      <c r="E83" s="148" t="n"/>
      <c r="F83" s="148" t="n"/>
    </row>
    <row r="84">
      <c r="A84" s="148" t="n"/>
      <c r="B84" s="148" t="n"/>
      <c r="C84" s="148" t="n"/>
      <c r="D84" s="148" t="n"/>
      <c r="E84" s="148" t="n"/>
      <c r="F84" s="148" t="n"/>
    </row>
    <row r="85">
      <c r="A85" s="148" t="n"/>
      <c r="B85" s="148" t="n"/>
      <c r="C85" s="148" t="n"/>
      <c r="D85" s="148" t="n"/>
      <c r="E85" s="148" t="n"/>
      <c r="F85" s="148" t="n"/>
    </row>
    <row r="86">
      <c r="A86" s="148" t="n"/>
      <c r="B86" s="148" t="n"/>
      <c r="C86" s="148" t="n"/>
      <c r="D86" s="148" t="n"/>
      <c r="E86" s="148" t="n"/>
      <c r="F86" s="148" t="n"/>
    </row>
    <row r="87">
      <c r="A87" s="148" t="n"/>
      <c r="B87" s="148" t="n"/>
      <c r="C87" s="148" t="n"/>
      <c r="D87" s="148" t="n"/>
      <c r="E87" s="148" t="n"/>
      <c r="F87" s="148" t="n"/>
    </row>
    <row r="88">
      <c r="A88" s="148" t="n"/>
      <c r="B88" s="148" t="n"/>
      <c r="C88" s="148" t="n"/>
      <c r="D88" s="148" t="n"/>
      <c r="E88" s="148" t="n"/>
      <c r="F88" s="148" t="n"/>
    </row>
    <row r="89">
      <c r="A89" s="148" t="n"/>
      <c r="B89" s="148" t="n"/>
      <c r="C89" s="148" t="n"/>
      <c r="D89" s="148" t="n"/>
      <c r="E89" s="148" t="n"/>
      <c r="F89" s="148" t="n"/>
    </row>
    <row r="90">
      <c r="A90" s="148" t="n"/>
      <c r="B90" s="148" t="n"/>
      <c r="C90" s="148" t="n"/>
      <c r="D90" s="148" t="n"/>
      <c r="E90" s="148" t="n"/>
      <c r="F90" s="148" t="n"/>
    </row>
    <row r="91">
      <c r="A91" s="148" t="n"/>
      <c r="B91" s="148" t="n"/>
      <c r="C91" s="148" t="n"/>
      <c r="D91" s="148" t="n"/>
      <c r="E91" s="148" t="n"/>
      <c r="F91" s="148" t="n"/>
    </row>
    <row r="92">
      <c r="A92" s="148" t="n"/>
      <c r="B92" s="148" t="n"/>
      <c r="C92" s="148" t="n"/>
      <c r="D92" s="148" t="n"/>
      <c r="E92" s="148" t="n"/>
      <c r="F92" s="148" t="n"/>
    </row>
    <row r="93">
      <c r="A93" s="148" t="n"/>
      <c r="B93" s="148" t="n"/>
      <c r="C93" s="148" t="n"/>
      <c r="D93" s="148" t="n"/>
      <c r="E93" s="148" t="n"/>
      <c r="F93" s="148" t="n"/>
    </row>
    <row r="94">
      <c r="A94" s="148" t="n"/>
      <c r="B94" s="148" t="n"/>
      <c r="C94" s="148" t="n"/>
      <c r="D94" s="148" t="n"/>
      <c r="E94" s="148" t="n"/>
      <c r="F94" s="148" t="n"/>
    </row>
    <row r="95">
      <c r="A95" s="148" t="n"/>
      <c r="B95" s="148" t="n"/>
      <c r="C95" s="148" t="n"/>
      <c r="D95" s="148" t="n"/>
      <c r="E95" s="148" t="n"/>
      <c r="F95" s="148" t="n"/>
    </row>
    <row r="96">
      <c r="A96" s="148" t="n"/>
      <c r="B96" s="148" t="n"/>
      <c r="C96" s="148" t="n"/>
      <c r="D96" s="148" t="n"/>
      <c r="E96" s="148" t="n"/>
      <c r="F96" s="148" t="n"/>
    </row>
    <row r="97">
      <c r="A97" s="148" t="n"/>
      <c r="B97" s="148" t="n"/>
      <c r="C97" s="148" t="n"/>
      <c r="D97" s="148" t="n"/>
      <c r="E97" s="148" t="n"/>
      <c r="F97" s="148" t="n"/>
    </row>
    <row r="98">
      <c r="A98" s="148" t="n"/>
      <c r="B98" s="148" t="n"/>
      <c r="C98" s="148" t="n"/>
      <c r="D98" s="148" t="n"/>
      <c r="E98" s="148" t="n"/>
      <c r="F98" s="148" t="n"/>
    </row>
    <row r="99">
      <c r="A99" s="148" t="n"/>
      <c r="B99" s="148" t="n"/>
      <c r="C99" s="148" t="n"/>
      <c r="D99" s="148" t="n"/>
      <c r="E99" s="148" t="n"/>
      <c r="F99" s="148" t="n"/>
    </row>
    <row r="100">
      <c r="A100" s="148" t="n"/>
      <c r="B100" s="148" t="n"/>
      <c r="C100" s="148" t="n"/>
      <c r="D100" s="148" t="n"/>
      <c r="E100" s="148" t="n"/>
      <c r="F100" s="148" t="n"/>
    </row>
    <row r="101">
      <c r="A101" s="148" t="n"/>
      <c r="B101" s="148" t="n"/>
      <c r="C101" s="148" t="n"/>
      <c r="D101" s="148" t="n"/>
      <c r="E101" s="148" t="n"/>
      <c r="F101" s="148" t="n"/>
    </row>
    <row r="102">
      <c r="A102" s="148" t="n"/>
      <c r="B102" s="148" t="n"/>
      <c r="C102" s="148" t="n"/>
      <c r="D102" s="148" t="n"/>
      <c r="E102" s="148" t="n"/>
      <c r="F102" s="148" t="n"/>
    </row>
    <row r="103">
      <c r="A103" s="148" t="n"/>
      <c r="B103" s="148" t="n"/>
      <c r="C103" s="148" t="n"/>
      <c r="D103" s="148" t="n"/>
      <c r="E103" s="148" t="n"/>
      <c r="F103" s="148" t="n"/>
    </row>
    <row r="104">
      <c r="A104" s="148" t="n"/>
      <c r="B104" s="148" t="n"/>
      <c r="C104" s="148" t="n"/>
      <c r="D104" s="148" t="n"/>
      <c r="E104" s="148" t="n"/>
      <c r="F104" s="148" t="n"/>
    </row>
    <row r="105">
      <c r="A105" s="148" t="n"/>
      <c r="B105" s="148" t="n"/>
      <c r="C105" s="148" t="n"/>
      <c r="D105" s="148" t="n"/>
      <c r="E105" s="148" t="n"/>
      <c r="F105" s="148" t="n"/>
    </row>
    <row r="106">
      <c r="A106" s="148" t="n"/>
      <c r="B106" s="148" t="n"/>
      <c r="C106" s="148" t="n"/>
      <c r="D106" s="148" t="n"/>
      <c r="E106" s="148" t="n"/>
      <c r="F106" s="148" t="n"/>
    </row>
    <row r="107">
      <c r="A107" s="148" t="n"/>
      <c r="B107" s="148" t="n"/>
      <c r="C107" s="148" t="n"/>
      <c r="D107" s="148" t="n"/>
      <c r="E107" s="148" t="n"/>
      <c r="F107" s="148" t="n"/>
    </row>
    <row r="108">
      <c r="A108" s="148" t="n"/>
      <c r="B108" s="148" t="n"/>
      <c r="C108" s="148" t="n"/>
      <c r="D108" s="148" t="n"/>
      <c r="E108" s="148" t="n"/>
      <c r="F108" s="148" t="n"/>
    </row>
    <row r="109">
      <c r="A109" s="148" t="n"/>
      <c r="B109" s="148" t="n"/>
      <c r="C109" s="148" t="n"/>
      <c r="D109" s="148" t="n"/>
      <c r="E109" s="148" t="n"/>
      <c r="F109" s="148" t="n"/>
    </row>
    <row r="110">
      <c r="A110" s="148" t="n"/>
      <c r="B110" s="148" t="n"/>
      <c r="C110" s="148" t="n"/>
      <c r="D110" s="148" t="n"/>
      <c r="E110" s="148" t="n"/>
      <c r="F110" s="148" t="n"/>
    </row>
    <row r="111">
      <c r="A111" s="148" t="n"/>
      <c r="B111" s="148" t="n"/>
      <c r="C111" s="148" t="n"/>
      <c r="D111" s="148" t="n"/>
      <c r="E111" s="148" t="n"/>
      <c r="F111" s="148" t="n"/>
    </row>
    <row r="112">
      <c r="A112" s="148" t="n"/>
      <c r="B112" s="148" t="n"/>
      <c r="C112" s="148" t="n"/>
      <c r="D112" s="148" t="n"/>
      <c r="E112" s="148" t="n"/>
      <c r="F112" s="148" t="n"/>
    </row>
    <row r="113">
      <c r="A113" s="148" t="n"/>
      <c r="B113" s="148" t="n"/>
      <c r="C113" s="148" t="n"/>
      <c r="D113" s="148" t="n"/>
      <c r="E113" s="148" t="n"/>
      <c r="F113" s="148" t="n"/>
    </row>
    <row r="114">
      <c r="A114" s="148" t="n"/>
      <c r="B114" s="148" t="n"/>
      <c r="C114" s="148" t="n"/>
      <c r="D114" s="148" t="n"/>
      <c r="E114" s="148" t="n"/>
      <c r="F114" s="148" t="n"/>
    </row>
    <row r="115">
      <c r="A115" s="148" t="n"/>
      <c r="B115" s="148" t="n"/>
      <c r="C115" s="148" t="n"/>
      <c r="D115" s="148" t="n"/>
      <c r="E115" s="148" t="n"/>
      <c r="F115" s="148" t="n"/>
    </row>
    <row r="116">
      <c r="A116" s="148" t="n"/>
      <c r="B116" s="148" t="n"/>
      <c r="C116" s="148" t="n"/>
      <c r="D116" s="148" t="n"/>
      <c r="E116" s="148" t="n"/>
      <c r="F116" s="148" t="n"/>
    </row>
    <row r="117">
      <c r="A117" s="148" t="n"/>
      <c r="B117" s="148" t="n"/>
      <c r="C117" s="148" t="n"/>
      <c r="D117" s="148" t="n"/>
      <c r="E117" s="148" t="n"/>
      <c r="F117" s="148" t="n"/>
    </row>
    <row r="118">
      <c r="A118" s="148" t="n"/>
      <c r="B118" s="148" t="n"/>
      <c r="C118" s="148" t="n"/>
      <c r="D118" s="148" t="n"/>
      <c r="E118" s="148" t="n"/>
      <c r="F118" s="148" t="n"/>
    </row>
    <row r="119">
      <c r="A119" s="148" t="n"/>
      <c r="B119" s="148" t="n"/>
      <c r="C119" s="148" t="n"/>
      <c r="D119" s="148" t="n"/>
      <c r="E119" s="148" t="n"/>
      <c r="F119" s="148" t="n"/>
    </row>
    <row r="120">
      <c r="A120" s="148" t="n"/>
      <c r="B120" s="148" t="n"/>
      <c r="C120" s="148" t="n"/>
      <c r="D120" s="148" t="n"/>
      <c r="E120" s="148" t="n"/>
      <c r="F120" s="148" t="n"/>
    </row>
    <row r="121">
      <c r="A121" s="148" t="n"/>
      <c r="B121" s="148" t="n"/>
      <c r="C121" s="148" t="n"/>
      <c r="D121" s="148" t="n"/>
      <c r="E121" s="148" t="n"/>
      <c r="F121" s="148" t="n"/>
    </row>
    <row r="122">
      <c r="A122" s="148" t="n"/>
      <c r="B122" s="148" t="n"/>
      <c r="C122" s="148" t="n"/>
      <c r="D122" s="148" t="n"/>
      <c r="E122" s="148" t="n"/>
      <c r="F122" s="148" t="n"/>
    </row>
    <row r="123">
      <c r="A123" s="148" t="n"/>
      <c r="B123" s="148" t="n"/>
      <c r="C123" s="148" t="n"/>
      <c r="D123" s="148" t="n"/>
      <c r="E123" s="148" t="n"/>
      <c r="F123" s="148" t="n"/>
    </row>
    <row r="124">
      <c r="A124" s="148" t="n"/>
      <c r="B124" s="148" t="n"/>
      <c r="C124" s="148" t="n"/>
      <c r="D124" s="148" t="n"/>
      <c r="E124" s="148" t="n"/>
      <c r="F124" s="148" t="n"/>
    </row>
    <row r="125">
      <c r="A125" s="148" t="n"/>
      <c r="B125" s="148" t="n"/>
      <c r="C125" s="148" t="n"/>
      <c r="D125" s="148" t="n"/>
      <c r="E125" s="148" t="n"/>
      <c r="F125" s="148" t="n"/>
    </row>
    <row r="126">
      <c r="A126" s="148" t="n"/>
      <c r="B126" s="148" t="n"/>
      <c r="C126" s="148" t="n"/>
      <c r="D126" s="148" t="n"/>
      <c r="E126" s="148" t="n"/>
      <c r="F126" s="148" t="n"/>
    </row>
    <row r="127">
      <c r="A127" s="148" t="n"/>
      <c r="B127" s="148" t="n"/>
      <c r="C127" s="148" t="n"/>
      <c r="D127" s="148" t="n"/>
      <c r="E127" s="148" t="n"/>
      <c r="F127" s="148" t="n"/>
    </row>
    <row r="128">
      <c r="A128" s="148" t="n"/>
      <c r="B128" s="148" t="n"/>
      <c r="C128" s="148" t="n"/>
      <c r="D128" s="148" t="n"/>
      <c r="E128" s="148" t="n"/>
      <c r="F128" s="148" t="n"/>
    </row>
    <row r="129">
      <c r="A129" s="148" t="n"/>
      <c r="B129" s="148" t="n"/>
      <c r="C129" s="148" t="n"/>
      <c r="D129" s="148" t="n"/>
      <c r="E129" s="148" t="n"/>
      <c r="F129" s="148" t="n"/>
    </row>
    <row r="130">
      <c r="A130" s="148" t="n"/>
      <c r="B130" s="148" t="n"/>
      <c r="C130" s="148" t="n"/>
      <c r="D130" s="148" t="n"/>
      <c r="E130" s="148" t="n"/>
      <c r="F130" s="148" t="n"/>
    </row>
    <row r="131">
      <c r="A131" s="148" t="n"/>
      <c r="B131" s="148" t="n"/>
      <c r="C131" s="148" t="n"/>
      <c r="D131" s="148" t="n"/>
      <c r="E131" s="148" t="n"/>
      <c r="F131" s="148" t="n"/>
    </row>
    <row r="132">
      <c r="A132" s="148" t="n"/>
      <c r="B132" s="148" t="n"/>
      <c r="C132" s="148" t="n"/>
      <c r="D132" s="148" t="n"/>
      <c r="E132" s="148" t="n"/>
      <c r="F132" s="148" t="n"/>
    </row>
    <row r="133">
      <c r="A133" s="148" t="n"/>
      <c r="B133" s="148" t="n"/>
      <c r="C133" s="148" t="n"/>
      <c r="D133" s="148" t="n"/>
      <c r="E133" s="148" t="n"/>
      <c r="F133" s="148" t="n"/>
    </row>
    <row r="134">
      <c r="A134" s="148" t="n"/>
      <c r="B134" s="148" t="n"/>
      <c r="C134" s="148" t="n"/>
      <c r="D134" s="148" t="n"/>
      <c r="E134" s="148" t="n"/>
      <c r="F134" s="148" t="n"/>
    </row>
    <row r="135">
      <c r="A135" s="148" t="n"/>
      <c r="B135" s="148" t="n"/>
      <c r="C135" s="148" t="n"/>
      <c r="D135" s="148" t="n"/>
      <c r="E135" s="148" t="n"/>
      <c r="F135" s="148" t="n"/>
    </row>
    <row r="136">
      <c r="A136" s="148" t="n"/>
      <c r="B136" s="148" t="n"/>
      <c r="C136" s="148" t="n"/>
      <c r="D136" s="148" t="n"/>
      <c r="E136" s="148" t="n"/>
      <c r="F136" s="148" t="n"/>
    </row>
    <row r="137">
      <c r="A137" s="148" t="n"/>
      <c r="B137" s="148" t="n"/>
      <c r="C137" s="148" t="n"/>
      <c r="D137" s="148" t="n"/>
      <c r="E137" s="148" t="n"/>
      <c r="F137" s="148" t="n"/>
    </row>
    <row r="138">
      <c r="A138" s="148" t="n"/>
      <c r="B138" s="148" t="n"/>
      <c r="C138" s="148" t="n"/>
      <c r="D138" s="148" t="n"/>
      <c r="E138" s="148" t="n"/>
      <c r="F138" s="148" t="n"/>
    </row>
    <row r="139">
      <c r="A139" s="148" t="n"/>
      <c r="B139" s="148" t="n"/>
      <c r="C139" s="148" t="n"/>
      <c r="D139" s="148" t="n"/>
      <c r="E139" s="148" t="n"/>
      <c r="F139" s="148" t="n"/>
    </row>
    <row r="140">
      <c r="A140" s="148" t="n"/>
      <c r="B140" s="148" t="n"/>
      <c r="C140" s="148" t="n"/>
      <c r="D140" s="148" t="n"/>
      <c r="E140" s="148" t="n"/>
      <c r="F140" s="148" t="n"/>
    </row>
    <row r="141">
      <c r="A141" s="148" t="n"/>
      <c r="B141" s="148" t="n"/>
      <c r="C141" s="148" t="n"/>
      <c r="D141" s="148" t="n"/>
      <c r="E141" s="148" t="n"/>
      <c r="F141" s="148" t="n"/>
    </row>
    <row r="142">
      <c r="A142" s="148" t="n"/>
      <c r="B142" s="148" t="n"/>
      <c r="C142" s="148" t="n"/>
      <c r="D142" s="148" t="n"/>
      <c r="E142" s="148" t="n"/>
      <c r="F142" s="148" t="n"/>
    </row>
    <row r="143">
      <c r="A143" s="148" t="n"/>
      <c r="B143" s="148" t="n"/>
      <c r="C143" s="148" t="n"/>
      <c r="D143" s="148" t="n"/>
      <c r="E143" s="148" t="n"/>
      <c r="F143" s="148" t="n"/>
    </row>
    <row r="144">
      <c r="A144" s="148" t="n"/>
      <c r="B144" s="148" t="n"/>
      <c r="C144" s="148" t="n"/>
      <c r="D144" s="148" t="n"/>
      <c r="E144" s="148" t="n"/>
      <c r="F144" s="148" t="n"/>
    </row>
    <row r="145">
      <c r="A145" s="148" t="n"/>
      <c r="B145" s="148" t="n"/>
      <c r="C145" s="148" t="n"/>
      <c r="D145" s="148" t="n"/>
      <c r="E145" s="148" t="n"/>
      <c r="F145" s="148" t="n"/>
    </row>
    <row r="146">
      <c r="A146" s="148" t="n"/>
      <c r="B146" s="148" t="n"/>
      <c r="C146" s="148" t="n"/>
      <c r="D146" s="148" t="n"/>
      <c r="E146" s="148" t="n"/>
      <c r="F146" s="148" t="n"/>
    </row>
    <row r="147">
      <c r="A147" s="148" t="n"/>
      <c r="B147" s="148" t="n"/>
      <c r="C147" s="148" t="n"/>
      <c r="D147" s="148" t="n"/>
      <c r="E147" s="148" t="n"/>
      <c r="F147" s="148" t="n"/>
    </row>
    <row r="148">
      <c r="A148" s="148" t="n"/>
      <c r="B148" s="148" t="n"/>
      <c r="C148" s="148" t="n"/>
      <c r="D148" s="148" t="n"/>
      <c r="E148" s="148" t="n"/>
      <c r="F148" s="148" t="n"/>
    </row>
    <row r="149">
      <c r="A149" s="148" t="n"/>
      <c r="B149" s="148" t="n"/>
      <c r="C149" s="148" t="n"/>
      <c r="D149" s="148" t="n"/>
      <c r="E149" s="148" t="n"/>
      <c r="F149" s="148" t="n"/>
    </row>
    <row r="150">
      <c r="A150" s="148" t="n"/>
      <c r="B150" s="148" t="n"/>
      <c r="C150" s="148" t="n"/>
      <c r="D150" s="148" t="n"/>
      <c r="E150" s="148" t="n"/>
      <c r="F150" s="148" t="n"/>
    </row>
    <row r="151">
      <c r="A151" s="148" t="n"/>
      <c r="B151" s="148" t="n"/>
      <c r="C151" s="148" t="n"/>
      <c r="D151" s="148" t="n"/>
      <c r="E151" s="148" t="n"/>
      <c r="F151" s="148" t="n"/>
    </row>
    <row r="152">
      <c r="A152" s="148" t="n"/>
      <c r="B152" s="148" t="n"/>
      <c r="C152" s="148" t="n"/>
      <c r="D152" s="148" t="n"/>
      <c r="E152" s="148" t="n"/>
      <c r="F152" s="148" t="n"/>
    </row>
    <row r="153">
      <c r="A153" s="148" t="n"/>
      <c r="B153" s="148" t="n"/>
      <c r="C153" s="148" t="n"/>
      <c r="D153" s="148" t="n"/>
      <c r="E153" s="148" t="n"/>
      <c r="F153" s="148" t="n"/>
    </row>
    <row r="154">
      <c r="A154" s="148" t="n"/>
      <c r="B154" s="148" t="n"/>
      <c r="C154" s="148" t="n"/>
      <c r="D154" s="148" t="n"/>
      <c r="E154" s="148" t="n"/>
      <c r="F154" s="148" t="n"/>
    </row>
    <row r="155" ht="13.8" customFormat="1" customHeight="1" s="148"/>
    <row r="156" ht="13.8" customFormat="1" customHeight="1" s="148"/>
    <row r="157" ht="13.8" customFormat="1" customHeight="1" s="148"/>
    <row r="158" ht="13.8" customFormat="1" customHeight="1" s="148"/>
    <row r="159">
      <c r="A159" s="148" t="n"/>
      <c r="B159" s="148" t="n"/>
      <c r="C159" s="148" t="n"/>
      <c r="D159" s="148" t="n"/>
      <c r="E159" s="148" t="n"/>
      <c r="F159" s="148" t="n"/>
    </row>
    <row r="160">
      <c r="A160" s="148" t="n"/>
      <c r="B160" s="148" t="n"/>
      <c r="C160" s="148" t="n"/>
      <c r="D160" s="148" t="n"/>
      <c r="E160" s="148" t="n"/>
      <c r="F160" s="148" t="n"/>
      <c r="H160" s="148" t="n"/>
      <c r="I160" s="148" t="n"/>
      <c r="J160" s="148" t="n"/>
      <c r="K160" s="148" t="n"/>
      <c r="L160" s="148" t="n"/>
    </row>
    <row r="161">
      <c r="A161" s="148" t="n"/>
      <c r="B161" s="148" t="n"/>
      <c r="C161" s="148" t="n"/>
      <c r="D161" s="148" t="n"/>
      <c r="E161" s="148" t="n"/>
      <c r="F161" s="148" t="n"/>
      <c r="H161" s="148" t="n"/>
      <c r="I161" s="148" t="n"/>
      <c r="J161" s="148" t="n"/>
      <c r="K161" s="148" t="n"/>
      <c r="L161" s="148" t="n"/>
    </row>
    <row r="162">
      <c r="A162" s="148" t="n"/>
      <c r="B162" s="148" t="n"/>
      <c r="C162" s="148" t="n"/>
      <c r="D162" s="148" t="n"/>
      <c r="E162" s="148" t="n"/>
      <c r="F162" s="148" t="n"/>
      <c r="H162" s="148" t="n"/>
      <c r="I162" s="148" t="n"/>
      <c r="J162" s="148" t="n"/>
      <c r="K162" s="148" t="n"/>
      <c r="L162" s="148" t="n"/>
    </row>
    <row r="163">
      <c r="A163" s="148" t="n"/>
      <c r="B163" s="148" t="n"/>
      <c r="C163" s="148" t="n"/>
      <c r="D163" s="148" t="n"/>
      <c r="E163" s="148" t="n"/>
      <c r="F163" s="148" t="n"/>
      <c r="H163" s="148" t="n"/>
      <c r="I163" s="148" t="n"/>
      <c r="J163" s="148" t="n"/>
      <c r="K163" s="148" t="n"/>
      <c r="L163" s="148" t="n"/>
    </row>
    <row r="164">
      <c r="A164" s="148" t="n"/>
      <c r="B164" s="148" t="n"/>
      <c r="C164" s="148" t="n"/>
      <c r="D164" s="148" t="n"/>
      <c r="E164" s="148" t="n"/>
      <c r="F164" s="148" t="n"/>
      <c r="H164" s="148" t="n"/>
      <c r="I164" s="148" t="n"/>
      <c r="J164" s="148" t="n"/>
      <c r="K164" s="148" t="n"/>
      <c r="L164" s="148" t="n"/>
    </row>
    <row r="165">
      <c r="A165" s="148" t="n"/>
      <c r="B165" s="148" t="n"/>
      <c r="C165" s="148" t="n"/>
      <c r="D165" s="148" t="n"/>
      <c r="E165" s="148" t="n"/>
      <c r="F165" s="148" t="n"/>
      <c r="H165" s="148" t="n"/>
      <c r="I165" s="148" t="n"/>
      <c r="J165" s="148" t="n"/>
      <c r="K165" s="148" t="n"/>
      <c r="L165" s="148" t="n"/>
    </row>
    <row r="166" ht="13.8" customFormat="1" customHeight="1" s="148"/>
    <row r="167">
      <c r="A167" s="148" t="n"/>
      <c r="B167" s="148" t="n"/>
      <c r="C167" s="148" t="n"/>
      <c r="D167" s="148" t="n"/>
      <c r="E167" s="148" t="n"/>
      <c r="F167" s="148" t="n"/>
      <c r="H167" s="148" t="n"/>
      <c r="I167" s="148" t="n"/>
      <c r="J167" s="148" t="n"/>
      <c r="K167" s="148" t="n"/>
      <c r="L167" s="148" t="n"/>
      <c r="M167" s="149" t="n"/>
    </row>
    <row r="168" ht="13.8" customFormat="1" customHeight="1" s="148"/>
    <row r="169" ht="13.8" customFormat="1" customHeight="1" s="148"/>
    <row r="170" ht="13.8" customFormat="1" customHeight="1" s="148"/>
    <row r="171" ht="13.8" customFormat="1" customHeight="1" s="148"/>
    <row r="172" ht="13.8" customFormat="1" customHeight="1" s="148"/>
    <row r="173">
      <c r="A173" s="148" t="n"/>
      <c r="B173" s="148" t="n"/>
      <c r="C173" s="148" t="n"/>
      <c r="D173" s="148" t="n"/>
      <c r="E173" s="148" t="n"/>
      <c r="F173" s="148" t="n"/>
      <c r="H173" s="148" t="n"/>
      <c r="I173" s="148" t="n"/>
      <c r="J173" s="148" t="n"/>
      <c r="K173" s="148" t="n"/>
    </row>
    <row r="174" ht="13.8" customFormat="1" customHeight="1" s="148"/>
    <row r="175" ht="13.8" customFormat="1" customHeight="1" s="148"/>
  </sheetData>
  <pageMargins left="0.7" right="0.7" top="0.75" bottom="0.75" header="0.3" footer="0.3"/>
  <pageSetup orientation="portrait"/>
</worksheet>
</file>

<file path=xl/worksheets/sheet24.xml><?xml version="1.0" encoding="utf-8"?>
<worksheet xmlns="http://schemas.openxmlformats.org/spreadsheetml/2006/main">
  <sheetPr codeName="Sheet17">
    <outlinePr summaryBelow="1" summaryRight="1"/>
    <pageSetUpPr/>
  </sheetPr>
  <dimension ref="A1:F1"/>
  <sheetViews>
    <sheetView workbookViewId="0">
      <selection activeCell="D19" sqref="D19"/>
    </sheetView>
  </sheetViews>
  <sheetFormatPr baseColWidth="8" defaultRowHeight="12.3"/>
  <sheetData>
    <row r="1">
      <c r="A1" t="inlineStr">
        <is>
          <t>D:\Brian\Report Writer Template\Results\CompB_Table1.csv</t>
        </is>
      </c>
      <c r="B1" t="inlineStr">
        <is>
          <t>$A$2:$B$2</t>
        </is>
      </c>
      <c r="C1" t="inlineStr">
        <is>
          <t>tablem01</t>
        </is>
      </c>
      <c r="D1" t="inlineStr">
        <is>
          <t>table1</t>
        </is>
      </c>
      <c r="E1" t="n">
        <v>2</v>
      </c>
      <c r="F1" t="inlineStr">
        <is>
          <t>format1Generalformat2#,##0</t>
        </is>
      </c>
    </row>
  </sheetData>
  <pageMargins left="0.7" right="0.7" top="0.75" bottom="0.75" header="0.3" footer="0.3"/>
</worksheet>
</file>

<file path=xl/worksheets/sheet25.xml><?xml version="1.0" encoding="utf-8"?>
<worksheet xmlns="http://schemas.openxmlformats.org/spreadsheetml/2006/main">
  <sheetPr codeName="Sheet13">
    <outlinePr summaryBelow="1" summaryRight="1"/>
    <pageSetUpPr/>
  </sheetPr>
  <dimension ref="A1:A1"/>
  <sheetViews>
    <sheetView workbookViewId="0">
      <selection activeCell="B2" sqref="B2"/>
    </sheetView>
  </sheetViews>
  <sheetFormatPr baseColWidth="8" defaultRowHeight="12.3"/>
  <cols>
    <col width="6.6640625" bestFit="1" customWidth="1" min="1" max="1"/>
    <col width="15.109375" bestFit="1" customWidth="1" style="150" min="2" max="2"/>
    <col width="14.88671875" bestFit="1" customWidth="1" min="3" max="3"/>
  </cols>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brian simonson</dc:creator>
  <dcterms:created xmlns:dcterms="http://purl.org/dc/terms/" xmlns:xsi="http://www.w3.org/2001/XMLSchema-instance" xsi:type="dcterms:W3CDTF">2011-04-04T13:29:04Z</dcterms:created>
  <dcterms:modified xmlns:dcterms="http://purl.org/dc/terms/" xmlns:xsi="http://www.w3.org/2001/XMLSchema-instance" xsi:type="dcterms:W3CDTF">2026-10-13T20:13:12Z</dcterms:modified>
  <cp:lastModifiedBy>Brian Simonson</cp:lastModifiedBy>
  <cp:lastPrinted>2015-10-14T16:15:32Z</cp:lastPrinted>
</cp:coreProperties>
</file>

<file path=docProps/custom.xml><?xml version="1.0" encoding="utf-8"?>
<Properties xmlns="http://schemas.openxmlformats.org/officeDocument/2006/custom-properties">
  <property name="DM_Links_Updated" fmtid="{D5CDD505-2E9C-101B-9397-08002B2CF9AE}" pid="2">
    <vt:bool xmlns:vt="http://schemas.openxmlformats.org/officeDocument/2006/docPropsVTypes">1</vt:bool>
  </property>
</Properties>
</file>