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cd45d04cce7c6afe/Documents/The Report Writer Package 02242020/The Report Writer Package 02242020/Report Writer Template/"/>
    </mc:Choice>
  </mc:AlternateContent>
  <xr:revisionPtr revIDLastSave="2" documentId="13_ncr:1_{B80AC776-2C51-4D67-871F-39EF4DBE4B1A}" xr6:coauthVersionLast="47" xr6:coauthVersionMax="47" xr10:uidLastSave="{ED743D12-0EC5-4D55-AE92-100B22927DCD}"/>
  <bookViews>
    <workbookView xWindow="-96" yWindow="-96" windowWidth="20928" windowHeight="12432" tabRatio="946" activeTab="1" xr2:uid="{00000000-000D-0000-FFFF-FFFF00000000}"/>
  </bookViews>
  <sheets>
    <sheet name="Welcome" sheetId="98" r:id="rId1"/>
    <sheet name="Current Parameters" sheetId="46" r:id="rId2"/>
    <sheet name="FigureDataImport" sheetId="12" r:id="rId3"/>
    <sheet name="Report Numbers" sheetId="47" r:id="rId4"/>
    <sheet name="Report Loop List" sheetId="68" r:id="rId5"/>
    <sheet name="ChartRanges" sheetId="56" r:id="rId6"/>
    <sheet name="Table 1" sheetId="87" r:id="rId7"/>
    <sheet name="Table 2" sheetId="94" r:id="rId8"/>
    <sheet name="Table 3" sheetId="100" r:id="rId9"/>
    <sheet name="Figure 1" sheetId="88" r:id="rId10"/>
    <sheet name="Figure 2" sheetId="89" r:id="rId11"/>
    <sheet name="FFS MR TopX" sheetId="66" state="hidden" r:id="rId12"/>
    <sheet name="Sheet1" sheetId="45" state="hidden" r:id="rId13"/>
    <sheet name="Bullet 1" sheetId="92" r:id="rId14"/>
    <sheet name="Header and Footer" sheetId="95" r:id="rId15"/>
    <sheet name="x-Header" sheetId="91" state="hidden" r:id="rId16"/>
    <sheet name="SmartSections" sheetId="77" r:id="rId17"/>
    <sheet name="Summary Sheet" sheetId="78" r:id="rId18"/>
    <sheet name="Add Docx" sheetId="85" r:id="rId19"/>
    <sheet name="Date" sheetId="90" r:id="rId20"/>
    <sheet name="GlobalReplace" sheetId="104" r:id="rId21"/>
    <sheet name="index" sheetId="103" r:id="rId22"/>
    <sheet name="index_altered" sheetId="69" r:id="rId23"/>
    <sheet name="index_temp" sheetId="102" r:id="rId24"/>
    <sheet name="CSVIMPORTS" sheetId="99" r:id="rId25"/>
  </sheets>
  <externalReferences>
    <externalReference r:id="rId26"/>
    <externalReference r:id="rId27"/>
  </externalReferences>
  <definedNames>
    <definedName name="_xlnm._FilterDatabase" localSheetId="4" hidden="1">'Report Loop List'!#REF!</definedName>
    <definedName name="_xlnm._FilterDatabase" localSheetId="17" hidden="1">'Summary Sheet'!$A$1:$D$103</definedName>
    <definedName name="CompA_Figure1" localSheetId="24">CSVIMPORTS!#REF!</definedName>
    <definedName name="CompA_Figure1_1" localSheetId="24">CSVIMPORTS!#REF!</definedName>
    <definedName name="CompA_Figure1_2" localSheetId="24">CSVIMPORTS!#REF!</definedName>
    <definedName name="CompA_Figure2" localSheetId="24">CSVIMPORTS!#REF!</definedName>
    <definedName name="CompA_Figure2_1" localSheetId="24">CSVIMPORTS!#REF!</definedName>
    <definedName name="CompA_Figure2_2" localSheetId="24">CSVIMPORTS!#REF!</definedName>
    <definedName name="CompA_Figure2_3" localSheetId="24">CSVIMPORTS!#REF!</definedName>
    <definedName name="CompA_Figure2_4" localSheetId="24">CSVIMPORTS!#REF!</definedName>
    <definedName name="CompA_Figure2_5" localSheetId="24">CSVIMPORTS!#REF!</definedName>
    <definedName name="CompA_Table1" localSheetId="24">CSVIMPORTS!#REF!</definedName>
    <definedName name="CompA_Table1.csv" localSheetId="24">CSVIMPORTS!#REF!</definedName>
    <definedName name="CompA_Table1_1" localSheetId="24">CSVIMPORTS!#REF!</definedName>
    <definedName name="CompA_Table1_2" localSheetId="24">CSVIMPORTS!#REF!</definedName>
    <definedName name="companies" localSheetId="14">'[1]Summary Sheet'!$A$2:$D$3</definedName>
    <definedName name="companies">'Summary Sheet'!$A$2:$D$3</definedName>
    <definedName name="CompB_Figure1" localSheetId="24">CSVIMPORTS!#REF!</definedName>
    <definedName name="CompB_Figure2" localSheetId="24">CSVIMPORTS!#REF!</definedName>
    <definedName name="CompB_Figure2_1" localSheetId="24">CSVIMPORTS!#REF!</definedName>
    <definedName name="CompB_Table1" localSheetId="24">CSVIMPORTS!#REF!</definedName>
    <definedName name="CompB_Table1.csv" localSheetId="24">CSVIMPORTS!#REF!</definedName>
    <definedName name="CompB_Table1_1" localSheetId="24">CSVIMPORTS!#REF!</definedName>
    <definedName name="Xsection" localSheetId="14">[2]SmartSections!$A$1:$B$104</definedName>
    <definedName name="Xsection">SmartSections!$A$1:$B$104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5" i="85" l="1"/>
  <c r="D2" i="85"/>
  <c r="A9" i="56" l="1"/>
  <c r="A8" i="56"/>
  <c r="A7" i="56"/>
  <c r="A6" i="56"/>
  <c r="A5" i="56"/>
  <c r="A4" i="56"/>
  <c r="H9" i="56" l="1"/>
  <c r="D4" i="100" l="1"/>
  <c r="C4" i="100"/>
  <c r="B4" i="100"/>
  <c r="D3" i="100"/>
  <c r="C3" i="100"/>
  <c r="B3" i="100"/>
  <c r="A2" i="89"/>
  <c r="J5" i="12" l="1"/>
  <c r="J4" i="12"/>
  <c r="B2" i="95" l="1"/>
  <c r="A2" i="87" l="1"/>
  <c r="A2" i="94" l="1"/>
  <c r="J7" i="12"/>
  <c r="J6" i="12"/>
  <c r="B15" i="92" l="1"/>
  <c r="B14" i="92"/>
  <c r="B13" i="92"/>
  <c r="B12" i="92"/>
  <c r="B11" i="92"/>
  <c r="B10" i="92"/>
  <c r="B9" i="92"/>
  <c r="B8" i="92"/>
  <c r="B7" i="92"/>
  <c r="B6" i="92"/>
  <c r="B5" i="92"/>
  <c r="B4" i="92"/>
  <c r="B3" i="92"/>
  <c r="B2" i="92"/>
  <c r="A15" i="92" l="1"/>
  <c r="A14" i="92"/>
  <c r="A13" i="92"/>
  <c r="A12" i="92"/>
  <c r="A11" i="92"/>
  <c r="A10" i="92"/>
  <c r="A9" i="92"/>
  <c r="A8" i="92"/>
  <c r="A7" i="92"/>
  <c r="A6" i="92"/>
  <c r="A5" i="92"/>
  <c r="A4" i="92"/>
  <c r="A3" i="92"/>
  <c r="A2" i="92"/>
  <c r="H7" i="56" l="1"/>
  <c r="A2" i="12"/>
  <c r="A8" i="46"/>
  <c r="A2" i="90" l="1"/>
  <c r="C2" i="90" s="1"/>
  <c r="B2" i="90" l="1"/>
  <c r="D2" i="90"/>
  <c r="C3" i="47" s="1"/>
  <c r="A3" i="89"/>
  <c r="B3" i="89"/>
  <c r="A4" i="89"/>
  <c r="B4" i="89"/>
  <c r="A5" i="89"/>
  <c r="B5" i="89"/>
  <c r="A6" i="89"/>
  <c r="B6" i="89"/>
  <c r="A7" i="89"/>
  <c r="B7" i="89"/>
  <c r="A8" i="89"/>
  <c r="B8" i="89"/>
  <c r="A9" i="89"/>
  <c r="B9" i="89"/>
  <c r="A10" i="89"/>
  <c r="B10" i="89"/>
  <c r="B2" i="89"/>
  <c r="B10" i="88"/>
  <c r="A10" i="88"/>
  <c r="B9" i="88"/>
  <c r="A9" i="88"/>
  <c r="B8" i="88"/>
  <c r="A8" i="88"/>
  <c r="B7" i="88"/>
  <c r="A7" i="88"/>
  <c r="B6" i="88"/>
  <c r="A6" i="88"/>
  <c r="B5" i="88"/>
  <c r="A5" i="88"/>
  <c r="B4" i="88"/>
  <c r="A4" i="88"/>
  <c r="B3" i="88"/>
  <c r="A3" i="88"/>
  <c r="B2" i="88"/>
  <c r="A2" i="88"/>
  <c r="C3" i="88" l="1"/>
  <c r="C9" i="88"/>
  <c r="C10" i="88"/>
  <c r="C8" i="88"/>
  <c r="C7" i="88"/>
  <c r="C5" i="88"/>
  <c r="C6" i="88"/>
  <c r="C4" i="88"/>
  <c r="C2" i="88"/>
  <c r="B2" i="77"/>
  <c r="A2" i="91"/>
  <c r="H6" i="56"/>
  <c r="D7" i="56" s="1"/>
  <c r="E2" i="90"/>
  <c r="H5" i="56"/>
  <c r="D5" i="56" s="1"/>
  <c r="B3" i="77"/>
  <c r="P2" i="68"/>
  <c r="F7" i="56" l="1"/>
  <c r="Q3" i="47" s="1"/>
  <c r="D6" i="56"/>
  <c r="C2" i="47"/>
  <c r="D2" i="77" l="1"/>
  <c r="F3" i="77"/>
  <c r="E3" i="77"/>
  <c r="E6" i="56"/>
  <c r="B3" i="87"/>
  <c r="B3" i="94" s="1"/>
  <c r="B4" i="87"/>
  <c r="B4" i="94" s="1"/>
  <c r="B5" i="87"/>
  <c r="B5" i="94" s="1"/>
  <c r="B6" i="87"/>
  <c r="B6" i="94" s="1"/>
  <c r="B7" i="87"/>
  <c r="B7" i="94" s="1"/>
  <c r="B8" i="87"/>
  <c r="B8" i="94" s="1"/>
  <c r="B9" i="87"/>
  <c r="B9" i="94" s="1"/>
  <c r="B10" i="87"/>
  <c r="B10" i="94" s="1"/>
  <c r="B2" i="87"/>
  <c r="A3" i="87"/>
  <c r="A4" i="87"/>
  <c r="A5" i="87"/>
  <c r="A6" i="87"/>
  <c r="A7" i="87"/>
  <c r="A8" i="87"/>
  <c r="A9" i="87"/>
  <c r="A10" i="87"/>
  <c r="H8" i="56" l="1"/>
  <c r="C3" i="87"/>
  <c r="B2" i="94"/>
  <c r="C2" i="87"/>
  <c r="A10" i="94"/>
  <c r="C10" i="87"/>
  <c r="A9" i="94"/>
  <c r="C9" i="87"/>
  <c r="A8" i="94"/>
  <c r="C8" i="87"/>
  <c r="A7" i="94"/>
  <c r="C7" i="87"/>
  <c r="A6" i="94"/>
  <c r="C6" i="87"/>
  <c r="A5" i="94"/>
  <c r="C5" i="87"/>
  <c r="A4" i="94"/>
  <c r="C4" i="87"/>
  <c r="A3" i="94"/>
  <c r="D3" i="77"/>
  <c r="H4" i="56"/>
  <c r="F6" i="56"/>
  <c r="K3" i="47" s="1"/>
  <c r="C4" i="47"/>
  <c r="D8" i="56" l="1"/>
  <c r="F8" i="56" s="1"/>
  <c r="C1" i="87"/>
  <c r="X2" i="47" s="1"/>
  <c r="D4" i="56"/>
  <c r="Q4" i="47" l="1"/>
  <c r="Q5" i="47"/>
  <c r="R2" i="77" l="1"/>
  <c r="L2" i="77" l="1"/>
  <c r="L3" i="77" s="1"/>
  <c r="L4" i="77" s="1"/>
  <c r="L5" i="77" s="1"/>
  <c r="B2" i="66" l="1"/>
  <c r="R3" i="77" l="1"/>
  <c r="C33" i="66" l="1"/>
  <c r="C32" i="66"/>
  <c r="C31" i="66"/>
  <c r="C30" i="66"/>
  <c r="C29" i="66"/>
  <c r="C28" i="66"/>
  <c r="C27" i="66"/>
  <c r="C26" i="66"/>
  <c r="C25" i="66"/>
  <c r="C24" i="66"/>
  <c r="C23" i="66"/>
  <c r="C22" i="66"/>
  <c r="C21" i="66"/>
  <c r="C20" i="66"/>
  <c r="C19" i="66"/>
  <c r="C18" i="66"/>
  <c r="C17" i="66"/>
  <c r="C16" i="66"/>
  <c r="C15" i="66"/>
  <c r="C14" i="66"/>
  <c r="C13" i="66"/>
  <c r="C12" i="66"/>
  <c r="C11" i="66"/>
  <c r="C10" i="66"/>
  <c r="C9" i="66"/>
  <c r="C8" i="66"/>
  <c r="C7" i="66"/>
  <c r="C6" i="66"/>
  <c r="C5" i="66"/>
  <c r="C4" i="66"/>
  <c r="C2" i="66"/>
  <c r="C3" i="66"/>
  <c r="B5" i="66" l="1"/>
  <c r="B6" i="66"/>
  <c r="B7" i="66"/>
  <c r="B8" i="66"/>
  <c r="B9" i="66"/>
  <c r="B10" i="66"/>
  <c r="B11" i="66"/>
  <c r="B12" i="66"/>
  <c r="B13" i="66"/>
  <c r="B14" i="66"/>
  <c r="B15" i="66"/>
  <c r="B16" i="66"/>
  <c r="B17" i="66"/>
  <c r="B18" i="66"/>
  <c r="B19" i="66"/>
  <c r="B20" i="66"/>
  <c r="B21" i="66"/>
  <c r="B22" i="66"/>
  <c r="B23" i="66"/>
  <c r="B24" i="66"/>
  <c r="B25" i="66"/>
  <c r="B26" i="66"/>
  <c r="B27" i="66"/>
  <c r="B28" i="66"/>
  <c r="B29" i="66"/>
  <c r="B30" i="66"/>
  <c r="B31" i="66"/>
  <c r="B32" i="66"/>
  <c r="B33" i="66"/>
  <c r="B4" i="66"/>
  <c r="B3" i="66"/>
  <c r="R2" i="47" l="1"/>
  <c r="E5" i="56" l="1"/>
  <c r="F5" i="56" s="1"/>
  <c r="K2" i="47" s="1"/>
  <c r="E4" i="56"/>
  <c r="F4" i="56" s="1"/>
  <c r="Q2" i="4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Simonson, Brian</author>
    <author>brian simonson</author>
  </authors>
  <commentList>
    <comment ref="A5" authorId="0" shapeId="0" xr:uid="{00000000-0006-0000-0100-000001000000}">
      <text>
        <r>
          <rPr>
            <b/>
            <sz val="9"/>
            <color indexed="81"/>
            <rFont val="Tahoma"/>
            <family val="2"/>
          </rPr>
          <t>Simonson, Brian:</t>
        </r>
        <r>
          <rPr>
            <sz val="9"/>
            <color indexed="81"/>
            <rFont val="Tahoma"/>
            <family val="2"/>
          </rPr>
          <t xml:space="preserve">
Template document name must end in "_Template".  All reports will be label by name of report preceding "_Template", plus the current report ID.</t>
        </r>
      </text>
    </comment>
    <comment ref="A15" authorId="0" shapeId="0" xr:uid="{00000000-0006-0000-0100-000002000000}">
      <text>
        <r>
          <rPr>
            <b/>
            <sz val="9"/>
            <color indexed="81"/>
            <rFont val="Tahoma"/>
            <family val="2"/>
          </rPr>
          <t>Simonson, Brian:</t>
        </r>
        <r>
          <rPr>
            <sz val="9"/>
            <color indexed="81"/>
            <rFont val="Tahoma"/>
            <family val="2"/>
          </rPr>
          <t xml:space="preserve">
Do not turn on ulness the report has "cutsection" tags created</t>
        </r>
      </text>
    </comment>
    <comment ref="A25" authorId="0" shapeId="0" xr:uid="{00000000-0006-0000-0100-000003000000}">
      <text>
        <r>
          <rPr>
            <b/>
            <sz val="9"/>
            <color indexed="81"/>
            <rFont val="Tahoma"/>
            <family val="2"/>
          </rPr>
          <t>Simonson, Brian:</t>
        </r>
        <r>
          <rPr>
            <sz val="9"/>
            <color indexed="81"/>
            <rFont val="Tahoma"/>
            <family val="2"/>
          </rPr>
          <t xml:space="preserve">
Do not turn on unless the report has a table of contents.</t>
        </r>
      </text>
    </comment>
    <comment ref="A27" authorId="1" shapeId="0" xr:uid="{B9C8AB96-33BD-4417-8E83-498259020142}">
      <text>
        <r>
          <rPr>
            <b/>
            <sz val="9"/>
            <color indexed="81"/>
            <rFont val="Tahoma"/>
            <family val="2"/>
          </rPr>
          <t>brian simonson:</t>
        </r>
        <r>
          <rPr>
            <sz val="9"/>
            <color indexed="81"/>
            <rFont val="Tahoma"/>
            <family val="2"/>
          </rPr>
          <t xml:space="preserve">
Final suffix for report names</t>
        </r>
      </text>
    </comment>
    <comment ref="A29" authorId="1" shapeId="0" xr:uid="{D3EC27FC-8049-4DEE-BE9C-79594E2BCFB3}">
      <text>
        <r>
          <rPr>
            <b/>
            <sz val="9"/>
            <color indexed="81"/>
            <rFont val="Tahoma"/>
            <charset val="1"/>
          </rPr>
          <t>Click to go to options for Massive Table Maker</t>
        </r>
      </text>
    </comment>
    <comment ref="A31" authorId="1" shapeId="0" xr:uid="{5135055F-2C6D-42AE-BB6B-7C3257C6EF69}">
      <text>
        <r>
          <rPr>
            <b/>
            <sz val="9"/>
            <color indexed="81"/>
            <rFont val="Tahoma"/>
            <charset val="1"/>
          </rPr>
          <t>brian simonson:</t>
        </r>
        <r>
          <rPr>
            <sz val="9"/>
            <color indexed="81"/>
            <rFont val="Tahoma"/>
            <charset val="1"/>
          </rPr>
          <t xml:space="preserve">
If populated, TRW will substitute the current report ID for the unique identifier for each of the tables within the "index_altered" tab.  For example if the unique identifier is "xxyyzz", then the filename should be, e.g., Table1_xxyyzz.csv.  Thus, when running report to company A, there should be afile named Table1_A.csv. IMPORTANT:  The "index_altered worksheet must be manually constructed, typically by modifying column A in the "index" tab.
If this field is left blank, then the "index" worksheet will be referenced.  this indicate that this is not a report that requires looping through a 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Simonson, Brian</author>
  </authors>
  <commentList>
    <comment ref="E3" authorId="0" shapeId="0" xr:uid="{00000000-0006-0000-0200-000001000000}">
      <text>
        <r>
          <rPr>
            <b/>
            <sz val="9"/>
            <color indexed="81"/>
            <rFont val="Tahoma"/>
            <family val="2"/>
          </rPr>
          <t>Simonson, Brian:</t>
        </r>
        <r>
          <rPr>
            <sz val="9"/>
            <color indexed="81"/>
            <rFont val="Tahoma"/>
            <family val="2"/>
          </rPr>
          <t xml:space="preserve">
This is an informativ field.  Not required.</t>
        </r>
      </text>
    </comment>
    <comment ref="H3" authorId="0" shapeId="0" xr:uid="{00000000-0006-0000-0200-000002000000}">
      <text>
        <r>
          <rPr>
            <b/>
            <sz val="9"/>
            <color indexed="81"/>
            <rFont val="Tahoma"/>
            <family val="2"/>
          </rPr>
          <t>Simonson, Brian:</t>
        </r>
        <r>
          <rPr>
            <sz val="9"/>
            <color indexed="81"/>
            <rFont val="Tahoma"/>
            <family val="2"/>
          </rPr>
          <t xml:space="preserve">
Files read in for files with 150 rows or less is powered by a lightweight, powerful file reader.  Files over this threshold deafault to a slower file reading procedure.</t>
        </r>
      </text>
    </comment>
    <comment ref="J3" authorId="0" shapeId="0" xr:uid="{00000000-0006-0000-0200-000003000000}">
      <text>
        <r>
          <rPr>
            <b/>
            <sz val="9"/>
            <color indexed="81"/>
            <rFont val="Tahoma"/>
            <family val="2"/>
          </rPr>
          <t>Simonson, Brian:</t>
        </r>
        <r>
          <rPr>
            <sz val="9"/>
            <color indexed="81"/>
            <rFont val="Tahoma"/>
            <family val="2"/>
          </rPr>
          <t xml:space="preserve">
Assumes the first worksheet is the worksheet of interest.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Simonson, Brian</author>
    <author>brian simonson</author>
  </authors>
  <commentList>
    <comment ref="L1" authorId="0" shapeId="0" xr:uid="{00000000-0006-0000-0300-000001000000}">
      <text>
        <r>
          <rPr>
            <b/>
            <sz val="9"/>
            <color indexed="81"/>
            <rFont val="Tahoma"/>
            <family val="2"/>
          </rPr>
          <t>Simonson, Brian:</t>
        </r>
        <r>
          <rPr>
            <sz val="9"/>
            <color indexed="81"/>
            <rFont val="Tahoma"/>
            <family val="2"/>
          </rPr>
          <t xml:space="preserve">
Automatic alt-text assumes simple one dimension bar or pie chart, with categories on far left column (A) and the reported statistics in the second column.  Also assumes the dimension titles are in the in the first row.
To override list the cell that would include the full alt-text.  Still requires data begings in row 2 of the sheet.
</t>
        </r>
      </text>
    </comment>
    <comment ref="S1" authorId="1" shapeId="0" xr:uid="{00000000-0006-0000-0300-000002000000}">
      <text>
        <r>
          <rPr>
            <b/>
            <sz val="9"/>
            <color indexed="81"/>
            <rFont val="Tahoma"/>
            <family val="2"/>
          </rPr>
          <t>brian simonson:</t>
        </r>
        <r>
          <rPr>
            <sz val="9"/>
            <color indexed="81"/>
            <rFont val="Tahoma"/>
            <family val="2"/>
          </rPr>
          <t xml:space="preserve">
Only used if "fit to window" is FALSE.  FALSE forces Left Aligned.</t>
        </r>
      </text>
    </comment>
    <comment ref="T1" authorId="1" shapeId="0" xr:uid="{00000000-0006-0000-0300-000003000000}">
      <text>
        <r>
          <rPr>
            <b/>
            <sz val="9"/>
            <color indexed="81"/>
            <rFont val="Tahoma"/>
            <family val="2"/>
          </rPr>
          <t>brian simonson:</t>
        </r>
        <r>
          <rPr>
            <sz val="9"/>
            <color indexed="81"/>
            <rFont val="Tahoma"/>
            <family val="2"/>
          </rPr>
          <t xml:space="preserve">
word table template set to true will ignore "fit to window, "center".  Column U (ultimate table type) is then required.</t>
        </r>
      </text>
    </comment>
    <comment ref="V1" authorId="1" shapeId="0" xr:uid="{00000000-0006-0000-0300-000004000000}">
      <text>
        <r>
          <rPr>
            <b/>
            <sz val="9"/>
            <color indexed="81"/>
            <rFont val="Tahoma"/>
            <family val="2"/>
          </rPr>
          <t>brian simonson:</t>
        </r>
        <r>
          <rPr>
            <sz val="9"/>
            <color indexed="81"/>
            <rFont val="Tahoma"/>
            <family val="2"/>
          </rPr>
          <t xml:space="preserve">
Not necessary for Fixed 
Row and Variable Row Ultimate Tables if headers decalred in the template table within Word template
</t>
        </r>
      </text>
    </comment>
    <comment ref="Y1" authorId="1" shapeId="0" xr:uid="{3874E9FB-400B-412B-8DD6-53D7A823D3DB}">
      <text>
        <r>
          <rPr>
            <b/>
            <sz val="9"/>
            <color indexed="81"/>
            <rFont val="Tahoma"/>
            <family val="2"/>
          </rPr>
          <t>brian simonson:</t>
        </r>
        <r>
          <rPr>
            <sz val="9"/>
            <color indexed="81"/>
            <rFont val="Tahoma"/>
            <family val="2"/>
          </rPr>
          <t xml:space="preserve">
Only for Word Table Template = FALSE (i.e. copy/pasted)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simonson</author>
  </authors>
  <commentList>
    <comment ref="C3" authorId="0" shapeId="0" xr:uid="{987B7B62-4D9E-426D-9211-293A0FCE1B61}">
      <text>
        <r>
          <rPr>
            <b/>
            <sz val="9"/>
            <color indexed="81"/>
            <rFont val="Tahoma"/>
            <family val="2"/>
          </rPr>
          <t>brian simonson:</t>
        </r>
        <r>
          <rPr>
            <sz val="9"/>
            <color indexed="81"/>
            <rFont val="Tahoma"/>
            <family val="2"/>
          </rPr>
          <t xml:space="preserve">
This designates number of colums for use in the alt-text functionality of tables. Note this might cunfuse the construction of the table range.
Hopefully automate this detection in future revisions.</t>
        </r>
      </text>
    </comment>
    <comment ref="C10" authorId="0" shapeId="0" xr:uid="{448191E9-0DC4-48F2-B808-68B51E29FC2A}">
      <text>
        <r>
          <rPr>
            <b/>
            <sz val="9"/>
            <color indexed="81"/>
            <rFont val="Tahoma"/>
            <charset val="1"/>
          </rPr>
          <t>brian simonson:</t>
        </r>
        <r>
          <rPr>
            <sz val="9"/>
            <color indexed="81"/>
            <rFont val="Tahoma"/>
            <charset val="1"/>
          </rPr>
          <t xml:space="preserve">
Note 3 columns becaue of merged rows.  Required for marking header rows.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simonson</author>
  </authors>
  <commentList>
    <comment ref="A1" authorId="0" shapeId="0" xr:uid="{109C12D9-C2EB-4F34-98E8-06B5E200A7D0}">
      <text>
        <r>
          <rPr>
            <b/>
            <sz val="9"/>
            <color indexed="81"/>
            <rFont val="Tahoma"/>
            <family val="2"/>
          </rPr>
          <t>brian simonson:</t>
        </r>
        <r>
          <rPr>
            <sz val="9"/>
            <color indexed="81"/>
            <rFont val="Tahoma"/>
            <family val="2"/>
          </rPr>
          <t xml:space="preserve">
Column formatted as text.  Hence numbers should be typed out as they would appear in document.  Typical application is putting dummy number like 99,999.0% which gets transfomed to N/A using this tab.</t>
        </r>
      </text>
    </comment>
  </commentList>
</comments>
</file>

<file path=xl/sharedStrings.xml><?xml version="1.0" encoding="utf-8"?>
<sst xmlns="http://schemas.openxmlformats.org/spreadsheetml/2006/main" count="403" uniqueCount="244">
  <si>
    <t>id</t>
  </si>
  <si>
    <t>description</t>
  </si>
  <si>
    <t>value</t>
  </si>
  <si>
    <t>sheet</t>
  </si>
  <si>
    <t>chart name</t>
  </si>
  <si>
    <t>table range</t>
  </si>
  <si>
    <t>fit to window</t>
  </si>
  <si>
    <t>center</t>
  </si>
  <si>
    <t>Charts</t>
  </si>
  <si>
    <t>Tables</t>
  </si>
  <si>
    <t>Figure Name</t>
  </si>
  <si>
    <t>Figure Sheet Location</t>
  </si>
  <si>
    <t>CSV Data Filename</t>
  </si>
  <si>
    <t>Figure Sheet Data Left Corner</t>
  </si>
  <si>
    <t>Number of Rows</t>
  </si>
  <si>
    <t>Number of Columns</t>
  </si>
  <si>
    <t>CSV Data Left Corner</t>
  </si>
  <si>
    <t>A2</t>
  </si>
  <si>
    <t>A</t>
  </si>
  <si>
    <t>B</t>
  </si>
  <si>
    <t>C</t>
  </si>
  <si>
    <t>D</t>
  </si>
  <si>
    <t>E</t>
  </si>
  <si>
    <t>F</t>
  </si>
  <si>
    <t>G</t>
  </si>
  <si>
    <t>H</t>
  </si>
  <si>
    <t>I</t>
  </si>
  <si>
    <t>J</t>
  </si>
  <si>
    <t>K</t>
  </si>
  <si>
    <t>L</t>
  </si>
  <si>
    <t>M</t>
  </si>
  <si>
    <t>N</t>
  </si>
  <si>
    <t>O</t>
  </si>
  <si>
    <t>P</t>
  </si>
  <si>
    <t>Q</t>
  </si>
  <si>
    <t>R</t>
  </si>
  <si>
    <t>S</t>
  </si>
  <si>
    <t>T</t>
  </si>
  <si>
    <t>U</t>
  </si>
  <si>
    <t>V</t>
  </si>
  <si>
    <t>W</t>
  </si>
  <si>
    <t>X</t>
  </si>
  <si>
    <t>Y</t>
  </si>
  <si>
    <t>Z</t>
  </si>
  <si>
    <t>Report File</t>
  </si>
  <si>
    <t>Date</t>
  </si>
  <si>
    <t>Figure 1</t>
  </si>
  <si>
    <t>Figure 2</t>
  </si>
  <si>
    <t>E2</t>
  </si>
  <si>
    <t>if colChar="A" then colNum=1</t>
  </si>
  <si>
    <t>elseif colChar="B" then colNum=2</t>
  </si>
  <si>
    <t>elseif colChar="C" then colNum=3</t>
  </si>
  <si>
    <t>elseif colChar="D" then colNum=4</t>
  </si>
  <si>
    <t>elseif colChar="E" then colNum=5</t>
  </si>
  <si>
    <t>elseif colChar="F" then colNum=6</t>
  </si>
  <si>
    <t>elseif colChar="G" then colNum=7</t>
  </si>
  <si>
    <t>elseif colChar="H" then colNum=8</t>
  </si>
  <si>
    <t>elseif colChar="I" then colNum=9</t>
  </si>
  <si>
    <t>elseif colChar="J" then colNum=10</t>
  </si>
  <si>
    <t>elseif colChar="K" then colNum=11</t>
  </si>
  <si>
    <t>elseif colChar="L" then colNum=12</t>
  </si>
  <si>
    <t>elseif colChar="M" then colNum=13</t>
  </si>
  <si>
    <t>elseif colChar="N" then colNum=14</t>
  </si>
  <si>
    <t>elseif colChar="O" then colNum=15</t>
  </si>
  <si>
    <t>elseif colChar="P" then colNum=16</t>
  </si>
  <si>
    <t>elseif colChar="Q" then colNum=17</t>
  </si>
  <si>
    <t>elseif colChar="R" then colNum=18</t>
  </si>
  <si>
    <t>elseif colChar="S" then colNum=19</t>
  </si>
  <si>
    <t>elseif colChar="T" then colNum=20</t>
  </si>
  <si>
    <t>elseif colChar="U" then colNum=21</t>
  </si>
  <si>
    <t>elseif colChar="V" then colNum=22</t>
  </si>
  <si>
    <t>elseif colChar="W" then colNum=23</t>
  </si>
  <si>
    <t>elseif colChar="X" then colNum=24</t>
  </si>
  <si>
    <t>elseif colChar="Y" then colNum=25</t>
  </si>
  <si>
    <t>elseif colChar="Z" then colNum=26</t>
  </si>
  <si>
    <t>Figure01</t>
  </si>
  <si>
    <t>Figure02</t>
  </si>
  <si>
    <t>Finding Range For chart</t>
  </si>
  <si>
    <t>Tab</t>
  </si>
  <si>
    <t>No. Cols</t>
  </si>
  <si>
    <t>Stop @ Col</t>
  </si>
  <si>
    <t>Range</t>
  </si>
  <si>
    <t>Not Range Col</t>
  </si>
  <si>
    <t>Not Range Row</t>
  </si>
  <si>
    <t>Bulleted 
Table</t>
  </si>
  <si>
    <t>Sheet Space</t>
  </si>
  <si>
    <t>Section</t>
  </si>
  <si>
    <t>Include</t>
  </si>
  <si>
    <t>Number of rows</t>
  </si>
  <si>
    <t>Reason</t>
  </si>
  <si>
    <t>TableX</t>
  </si>
  <si>
    <t>Followed By Bullet</t>
  </si>
  <si>
    <t>01</t>
  </si>
  <si>
    <t>02</t>
  </si>
  <si>
    <t>FigureX</t>
  </si>
  <si>
    <r>
      <rPr>
        <sz val="6"/>
        <rFont val="Wingdings"/>
        <charset val="2"/>
      </rPr>
      <t xml:space="preserve"> </t>
    </r>
    <r>
      <rPr>
        <sz val="7"/>
        <rFont val="Wingdings"/>
        <charset val="2"/>
      </rPr>
      <t xml:space="preserve"> </t>
    </r>
    <r>
      <rPr>
        <sz val="8"/>
        <rFont val="Wingdings"/>
        <charset val="2"/>
      </rPr>
      <t>l</t>
    </r>
  </si>
  <si>
    <t>Path Extension For Additional Docs to be pasted</t>
  </si>
  <si>
    <t>Full Path:</t>
  </si>
  <si>
    <t>List of Docs</t>
  </si>
  <si>
    <t>No Documentation</t>
  </si>
  <si>
    <t>Insufficient Documentation</t>
  </si>
  <si>
    <t>Company</t>
  </si>
  <si>
    <t>Total Members</t>
  </si>
  <si>
    <t>Table 1</t>
  </si>
  <si>
    <t>22-30</t>
  </si>
  <si>
    <t>30-50</t>
  </si>
  <si>
    <t>Male</t>
  </si>
  <si>
    <t>Female</t>
  </si>
  <si>
    <t>Age</t>
  </si>
  <si>
    <t>Gender</t>
  </si>
  <si>
    <t>Males</t>
  </si>
  <si>
    <t>Females</t>
  </si>
  <si>
    <t>Table01</t>
  </si>
  <si>
    <t>company</t>
  </si>
  <si>
    <t>year</t>
  </si>
  <si>
    <t>count</t>
  </si>
  <si>
    <t>total employees</t>
  </si>
  <si>
    <t>Percent</t>
  </si>
  <si>
    <t>Chart 1</t>
  </si>
  <si>
    <t>chart range</t>
  </si>
  <si>
    <t>Loop List</t>
  </si>
  <si>
    <t>Report Template Path</t>
  </si>
  <si>
    <t>Final Report Destination</t>
  </si>
  <si>
    <t>Current Report ID</t>
  </si>
  <si>
    <t>Smart Sections</t>
  </si>
  <si>
    <t>On</t>
  </si>
  <si>
    <t>Off</t>
  </si>
  <si>
    <t>Options Control Center</t>
  </si>
  <si>
    <t>Figure/Table Results Path (Requires all results in same folder)</t>
  </si>
  <si>
    <t>value id</t>
  </si>
  <si>
    <t>chart id</t>
  </si>
  <si>
    <t>table id</t>
  </si>
  <si>
    <t>508 Compliant Charts</t>
  </si>
  <si>
    <t>Report Format</t>
  </si>
  <si>
    <t>Word (*.docx)</t>
  </si>
  <si>
    <t>97-2003 Word (*.doc)</t>
  </si>
  <si>
    <t>PDF (*.pdf)</t>
  </si>
  <si>
    <t>No. Rows (Incl. Label Row)</t>
  </si>
  <si>
    <t>Place header for report below (in cell A2)</t>
  </si>
  <si>
    <t>Count</t>
  </si>
  <si>
    <t>Figure</t>
  </si>
  <si>
    <t>Table</t>
  </si>
  <si>
    <t>While not required, this sheet is set up to determine the range of the tables and figures.  The theme to the table and figure sheets is to "overestimate the number of  rows/columns for a table, then place "xx" programmatically in unused cells.  Without the use of this sheet, the automatic reloading of charts with the correct range will not work.</t>
  </si>
  <si>
    <t>This sheet is to assist in constructing a date, perhaps to be deployed in the report (e.g. the header).</t>
  </si>
  <si>
    <t>Bullet 1</t>
  </si>
  <si>
    <t>Bullet</t>
  </si>
  <si>
    <t>Statement</t>
  </si>
  <si>
    <t>Bullet01</t>
  </si>
  <si>
    <t>51+</t>
  </si>
  <si>
    <t>Table 2</t>
  </si>
  <si>
    <t>Table02</t>
  </si>
  <si>
    <t>Table 1 Ult</t>
  </si>
  <si>
    <t>Note: Just a copy of Table 1 for Ultimate Table Maker Demo</t>
  </si>
  <si>
    <t>Header</t>
  </si>
  <si>
    <t>Alignment (Left,Center, Right)</t>
  </si>
  <si>
    <t>Footer</t>
  </si>
  <si>
    <t>Alignment (Left, Center, Right)</t>
  </si>
  <si>
    <t>Center</t>
  </si>
  <si>
    <t>Left</t>
  </si>
  <si>
    <t>Report Title Suffix</t>
  </si>
  <si>
    <t>Variable Row</t>
  </si>
  <si>
    <t>Fixed Row One Tag</t>
  </si>
  <si>
    <t>Alt-Text Override Column</t>
  </si>
  <si>
    <t>The Report Writer</t>
  </si>
  <si>
    <t xml:space="preserve">Welcome to The Report Writer, an a tool designed to produce professinal, 508 compliant reports leveraging the applications that one </t>
  </si>
  <si>
    <t>naturally uses for report production: Excel and Word.  The Report Writer assists in importing results produced from other analytical</t>
  </si>
  <si>
    <t>platforms, then allows the user to leverage Excel ability to produce report quality tables and charts.</t>
  </si>
  <si>
    <t>The basics of the worksheets in this application:</t>
  </si>
  <si>
    <t>Current Parameters</t>
  </si>
  <si>
    <t>FIgureDataImport</t>
  </si>
  <si>
    <t>Report Numbers</t>
  </si>
  <si>
    <t>Report Loop List</t>
  </si>
  <si>
    <t>Chart Ranges</t>
  </si>
  <si>
    <t>Header and Footer</t>
  </si>
  <si>
    <t>SmartSections</t>
  </si>
  <si>
    <t>Summary Sheet</t>
  </si>
  <si>
    <t>The  steering wheel of the application.  Specifiy report templates, reporting options, etc.</t>
  </si>
  <si>
    <t>A tool to assist with importing  results files into worksheets</t>
  </si>
  <si>
    <t>A list of all reports to be ran (e.g. a list of states, hospitals, etc.)</t>
  </si>
  <si>
    <t>A list of the dimensions of the different tables and charts.</t>
  </si>
  <si>
    <t>Example of table set up</t>
  </si>
  <si>
    <t>Example of figure set up</t>
  </si>
  <si>
    <t>Example of bullet creation</t>
  </si>
  <si>
    <t>Listing of headers and footers for up to 5 sections of a report</t>
  </si>
  <si>
    <t>A tracker of section to be cut from the report dynamically</t>
  </si>
  <si>
    <t>Statistics that help determine when a section is cut</t>
  </si>
  <si>
    <t>A listing of all numbers, tables, and charts in the report, and their properties</t>
  </si>
  <si>
    <t>number of rows as header</t>
  </si>
  <si>
    <t>Alt-Text Title</t>
  </si>
  <si>
    <t>Alt-Text Description</t>
  </si>
  <si>
    <t>Table of Number of Employees by Age</t>
  </si>
  <si>
    <t>Table of Contents Update</t>
  </si>
  <si>
    <t>Same folder as Hub file</t>
  </si>
  <si>
    <t>Different folder compared to Hub file</t>
  </si>
  <si>
    <t>Table03</t>
  </si>
  <si>
    <t>03</t>
  </si>
  <si>
    <t>Auto-Import Data Files</t>
  </si>
  <si>
    <t>Example 2 Title</t>
  </si>
  <si>
    <t>Example 3 Title</t>
  </si>
  <si>
    <t>Example 2 Description</t>
  </si>
  <si>
    <t>Example 3 Description</t>
  </si>
  <si>
    <t>Headers and Footers</t>
  </si>
  <si>
    <t>Demo Project 1_Template.docx</t>
  </si>
  <si>
    <t>Statistics</t>
  </si>
  <si>
    <t>Table 3</t>
  </si>
  <si>
    <t>A1:D4</t>
  </si>
  <si>
    <t>04</t>
  </si>
  <si>
    <t>Table Convert</t>
  </si>
  <si>
    <t>Fixed Row</t>
  </si>
  <si>
    <t>table type</t>
  </si>
  <si>
    <t>word table template</t>
  </si>
  <si>
    <t>ID</t>
  </si>
  <si>
    <t>Massive Table Maker</t>
  </si>
  <si>
    <t>Massive Table Maker Unique Identifier</t>
  </si>
  <si>
    <t>xxyyzz</t>
  </si>
  <si>
    <t>$A$2:$B$2</t>
  </si>
  <si>
    <t>table1</t>
  </si>
  <si>
    <t>format1Generalformat2#,##0</t>
  </si>
  <si>
    <t>D:\Brian\Report Writer Template\Results\CompB_Table1.csv</t>
  </si>
  <si>
    <t>D:\Brian\Report Writer Template\Results\Compxxyyzz_Table1.csv</t>
  </si>
  <si>
    <t>tablem01</t>
  </si>
  <si>
    <t>Additional Docs</t>
  </si>
  <si>
    <t>addsection01</t>
  </si>
  <si>
    <t>User Defined Macros</t>
  </si>
  <si>
    <t>Padding (in Px) {Default is 1px}</t>
  </si>
  <si>
    <t>Padding Location (E.G. Type RLT for all, R  just for right)</t>
  </si>
  <si>
    <t>Demo Mode</t>
  </si>
  <si>
    <t>Find</t>
  </si>
  <si>
    <t>Replace</t>
  </si>
  <si>
    <t>99,999.0</t>
  </si>
  <si>
    <t>N/A</t>
  </si>
  <si>
    <t>Global Replace</t>
  </si>
  <si>
    <t>$99,999.0</t>
  </si>
  <si>
    <t>99,999</t>
  </si>
  <si>
    <t>-3,149</t>
  </si>
  <si>
    <t>-3,149.0</t>
  </si>
  <si>
    <t>-3149</t>
  </si>
  <si>
    <t>99999</t>
  </si>
  <si>
    <t>9,999,900.0%</t>
  </si>
  <si>
    <t>-$3,149</t>
  </si>
  <si>
    <t>-$3149.0</t>
  </si>
  <si>
    <t>-314,900%</t>
  </si>
  <si>
    <t>-314,900.0%</t>
  </si>
  <si>
    <t>C:\Users\brian\OneDrive\Documents\The Report Writer Package 02242020\The Report Writer Package 02242020\Report Writer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</si>
</sst>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MS Sans Serif"/>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Wingdings"/>
      <charset val="2"/>
    </font>
    <font>
      <sz val="12"/>
      <name val="Times New Roman"/>
      <family val="1"/>
    </font>
    <font>
      <sz val="11"/>
      <color theme="1"/>
      <name val="Times New Roman"/>
      <family val="1"/>
    </font>
    <font>
      <b/>
      <sz val="11"/>
      <color theme="1"/>
      <name val="Times New Roman"/>
      <family val="1"/>
    </font>
    <font>
      <b/>
      <sz val="11"/>
      <color theme="0"/>
      <name val="Times New Roman"/>
      <family val="1"/>
    </font>
    <font>
      <sz val="11"/>
      <name val="Times New Roman"/>
      <family val="1"/>
    </font>
    <font>
      <b/>
      <sz val="11"/>
      <name val="Times New Roman"/>
      <family val="1"/>
    </font>
    <font>
      <sz val="7"/>
      <name val="Wingdings"/>
      <charset val="2"/>
    </font>
    <font>
      <b/>
      <sz val="7"/>
      <name val="Wingdings"/>
      <charset val="2"/>
    </font>
    <font>
      <b/>
      <sz val="12"/>
      <name val="Times New Roman"/>
      <family val="1"/>
    </font>
    <font>
      <b/>
      <sz val="10"/>
      <name val="Arial"/>
      <family val="2"/>
    </font>
    <font>
      <sz val="6"/>
      <name val="Wingdings"/>
      <charset val="2"/>
    </font>
    <font>
      <sz val="11"/>
      <name val="Calibri"/>
      <family val="2"/>
    </font>
    <font>
      <b/>
      <sz val="9"/>
      <color indexed="81"/>
      <name val="Tahoma"/>
      <family val="2"/>
    </font>
    <font>
      <sz val="9"/>
      <color indexed="81"/>
      <name val="Tahoma"/>
      <family val="2"/>
    </font>
    <font>
      <sz val="12"/>
      <name val="Arial"/>
      <family val="2"/>
    </font>
    <font>
      <b/>
      <sz val="12"/>
      <name val="Arial"/>
      <family val="2"/>
    </font>
    <font>
      <b/>
      <i/>
      <sz val="11"/>
      <name val="Times New Roman"/>
      <family val="1"/>
    </font>
    <font>
      <sz val="12"/>
      <color rgb="FFFF0000"/>
      <name val="Arial"/>
      <family val="2"/>
    </font>
    <font>
      <b/>
      <sz val="11"/>
      <color theme="0"/>
      <name val="Times New Roman"/>
      <family val="1"/>
    </font>
    <font>
      <sz val="11"/>
      <name val="Times New Roman"/>
      <family val="1"/>
    </font>
    <font>
      <sz val="11"/>
      <color theme="1"/>
      <name val="Times New Roman"/>
      <family val="1"/>
    </font>
    <font>
      <b/>
      <sz val="18"/>
      <name val="Arial"/>
      <family val="2"/>
    </font>
    <font>
      <b/>
      <i/>
      <sz val="10"/>
      <name val="Arial"/>
      <family val="2"/>
    </font>
    <font>
      <sz val="11"/>
      <color theme="0"/>
      <name val="Times New Roman"/>
      <family val="1"/>
    </font>
    <font>
      <b/>
      <sz val="11"/>
      <color theme="0"/>
      <name val="Showcard Gothic"/>
      <family val="5"/>
    </font>
    <font>
      <sz val="9"/>
      <color indexed="81"/>
      <name val="Tahoma"/>
      <charset val="1"/>
    </font>
    <font>
      <b/>
      <sz val="9"/>
      <color indexed="81"/>
      <name val="Tahoma"/>
      <charset val="1"/>
    </font>
    <font>
      <u/>
      <sz val="10"/>
      <color theme="10"/>
      <name val="Arial"/>
    </font>
    <font>
      <sz val="11"/>
      <name val="Arial"/>
      <family val="2"/>
    </font>
    <font>
      <sz val="11"/>
      <color theme="1"/>
      <name val="Arial"/>
      <family val="2"/>
    </font>
    <font>
      <sz val="10"/>
      <name val="Arial"/>
    </font>
  </fonts>
  <fills count="43">
    <fill>
      <patternFill patternType="none"/>
    </fill>
    <fill>
      <patternFill patternType="gray125"/>
    </fill>
    <fill>
      <patternFill patternType="solid">
        <fgColor theme="0" tint="-0.14996795556505021"/>
        <bgColor indexed="64"/>
      </patternFill>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0000"/>
        <bgColor indexed="64"/>
      </patternFill>
    </fill>
    <fill>
      <patternFill patternType="solid">
        <fgColor theme="4" tint="-0.499984740745262"/>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theme="3" tint="0.59996337778862885"/>
        <bgColor indexed="64"/>
      </patternFill>
    </fill>
    <fill>
      <patternFill patternType="solid">
        <fgColor rgb="FF00206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theme="0"/>
      </right>
      <top style="thin">
        <color indexed="64"/>
      </top>
      <bottom/>
      <diagonal/>
    </border>
    <border>
      <left style="thin">
        <color theme="0"/>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bottom style="medium">
        <color indexed="64"/>
      </bottom>
      <diagonal/>
    </border>
  </borders>
  <cellStyleXfs count="312">
    <xf numFmtId="0" fontId="0" fillId="0" borderId="0"/>
    <xf numFmtId="0" fontId="16" fillId="0" borderId="0"/>
    <xf numFmtId="44" fontId="17" fillId="0" borderId="0" applyFont="0" applyFill="0" applyBorder="0" applyAlignment="0" applyProtection="0"/>
    <xf numFmtId="43" fontId="17" fillId="0" borderId="0" applyFont="0" applyFill="0" applyBorder="0" applyAlignment="0" applyProtection="0"/>
    <xf numFmtId="0" fontId="18" fillId="0" borderId="0"/>
    <xf numFmtId="9" fontId="18" fillId="0" borderId="0" applyFont="0" applyFill="0" applyBorder="0" applyAlignment="0" applyProtection="0"/>
    <xf numFmtId="9" fontId="17" fillId="0" borderId="0" applyFont="0" applyFill="0" applyBorder="0" applyAlignment="0" applyProtection="0"/>
    <xf numFmtId="0" fontId="19" fillId="0" borderId="0"/>
    <xf numFmtId="0" fontId="15" fillId="0" borderId="0"/>
    <xf numFmtId="44" fontId="19" fillId="0" borderId="0" applyFont="0" applyFill="0" applyBorder="0" applyAlignment="0" applyProtection="0"/>
    <xf numFmtId="9" fontId="19" fillId="0" borderId="0" applyFont="0" applyFill="0" applyBorder="0" applyAlignment="0" applyProtection="0"/>
    <xf numFmtId="0" fontId="20" fillId="0" borderId="0" applyNumberFormat="0" applyFill="0" applyBorder="0" applyAlignment="0" applyProtection="0"/>
    <xf numFmtId="0" fontId="21" fillId="0" borderId="4" applyNumberFormat="0" applyFill="0" applyAlignment="0" applyProtection="0"/>
    <xf numFmtId="0" fontId="22" fillId="0" borderId="5" applyNumberFormat="0" applyFill="0" applyAlignment="0" applyProtection="0"/>
    <xf numFmtId="0" fontId="23" fillId="0" borderId="6" applyNumberFormat="0" applyFill="0" applyAlignment="0" applyProtection="0"/>
    <xf numFmtId="0" fontId="23" fillId="0" borderId="0" applyNumberFormat="0" applyFill="0" applyBorder="0" applyAlignment="0" applyProtection="0"/>
    <xf numFmtId="0" fontId="24" fillId="5" borderId="0" applyNumberFormat="0" applyBorder="0" applyAlignment="0" applyProtection="0"/>
    <xf numFmtId="0" fontId="25" fillId="6" borderId="0" applyNumberFormat="0" applyBorder="0" applyAlignment="0" applyProtection="0"/>
    <xf numFmtId="0" fontId="26" fillId="7" borderId="0" applyNumberFormat="0" applyBorder="0" applyAlignment="0" applyProtection="0"/>
    <xf numFmtId="0" fontId="27" fillId="8" borderId="7" applyNumberFormat="0" applyAlignment="0" applyProtection="0"/>
    <xf numFmtId="0" fontId="28" fillId="9" borderId="8" applyNumberFormat="0" applyAlignment="0" applyProtection="0"/>
    <xf numFmtId="0" fontId="29" fillId="9" borderId="7" applyNumberFormat="0" applyAlignment="0" applyProtection="0"/>
    <xf numFmtId="0" fontId="30" fillId="0" borderId="9" applyNumberFormat="0" applyFill="0" applyAlignment="0" applyProtection="0"/>
    <xf numFmtId="0" fontId="31" fillId="10" borderId="10" applyNumberFormat="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12" applyNumberFormat="0" applyFill="0" applyAlignment="0" applyProtection="0"/>
    <xf numFmtId="0" fontId="35"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35" fillId="35" borderId="0" applyNumberFormat="0" applyBorder="0" applyAlignment="0" applyProtection="0"/>
    <xf numFmtId="0" fontId="14" fillId="0" borderId="0"/>
    <xf numFmtId="0" fontId="14" fillId="0" borderId="0"/>
    <xf numFmtId="0" fontId="14" fillId="11" borderId="11" applyNumberFormat="0" applyFont="0" applyAlignment="0" applyProtection="0"/>
    <xf numFmtId="0" fontId="13" fillId="0" borderId="0"/>
    <xf numFmtId="0" fontId="13" fillId="13" borderId="0" applyNumberFormat="0" applyBorder="0" applyAlignment="0" applyProtection="0"/>
    <xf numFmtId="0" fontId="13" fillId="14"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3" fillId="0" borderId="0"/>
    <xf numFmtId="0" fontId="13" fillId="11" borderId="11" applyNumberFormat="0" applyFont="0" applyAlignment="0" applyProtection="0"/>
    <xf numFmtId="0" fontId="12" fillId="0" borderId="0"/>
    <xf numFmtId="0" fontId="11" fillId="0" borderId="0"/>
    <xf numFmtId="0" fontId="11" fillId="0" borderId="0"/>
    <xf numFmtId="0" fontId="10" fillId="0" borderId="0"/>
    <xf numFmtId="0" fontId="10" fillId="11" borderId="11"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9" fillId="0" borderId="0"/>
    <xf numFmtId="0" fontId="8" fillId="0" borderId="0"/>
    <xf numFmtId="0" fontId="7" fillId="0" borderId="0"/>
    <xf numFmtId="0" fontId="7" fillId="11" borderId="11"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0" borderId="0"/>
    <xf numFmtId="0" fontId="6" fillId="11" borderId="11"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0" borderId="0"/>
    <xf numFmtId="0" fontId="5" fillId="11" borderId="11"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0" fontId="4" fillId="11" borderId="11" applyNumberFormat="0" applyFont="0" applyAlignment="0" applyProtection="0"/>
    <xf numFmtId="0" fontId="4" fillId="13" borderId="0" applyNumberFormat="0" applyBorder="0" applyAlignment="0" applyProtection="0"/>
    <xf numFmtId="0" fontId="4" fillId="14"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 fillId="0" borderId="0"/>
    <xf numFmtId="0" fontId="3" fillId="11" borderId="11" applyNumberFormat="0" applyFont="0" applyAlignment="0" applyProtection="0"/>
    <xf numFmtId="0" fontId="3" fillId="13" borderId="0" applyNumberFormat="0" applyBorder="0" applyAlignment="0" applyProtection="0"/>
    <xf numFmtId="0" fontId="3" fillId="14"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2" fillId="0" borderId="0"/>
    <xf numFmtId="0" fontId="2" fillId="11" borderId="11"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1" fillId="0" borderId="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9" fillId="0" borderId="0"/>
    <xf numFmtId="0" fontId="1" fillId="0" borderId="0"/>
    <xf numFmtId="0" fontId="1" fillId="0" borderId="0"/>
    <xf numFmtId="0" fontId="1" fillId="0" borderId="0"/>
    <xf numFmtId="0" fontId="1" fillId="0" borderId="0"/>
    <xf numFmtId="0" fontId="1" fillId="11" borderId="11" applyNumberFormat="0" applyFont="0" applyAlignment="0" applyProtection="0"/>
    <xf numFmtId="0" fontId="1" fillId="0" borderId="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1" applyNumberFormat="0" applyFont="0" applyAlignment="0" applyProtection="0"/>
    <xf numFmtId="0" fontId="1" fillId="0" borderId="0"/>
    <xf numFmtId="0" fontId="1" fillId="0" borderId="0"/>
    <xf numFmtId="0" fontId="1" fillId="0" borderId="0"/>
    <xf numFmtId="9" fontId="19" fillId="0" borderId="0" applyFont="0" applyFill="0" applyBorder="0" applyAlignment="0" applyProtection="0"/>
    <xf numFmtId="0" fontId="1" fillId="0" borderId="0"/>
    <xf numFmtId="0" fontId="1" fillId="11" borderId="1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0" borderId="0"/>
    <xf numFmtId="0" fontId="1" fillId="0" borderId="0"/>
    <xf numFmtId="0" fontId="1" fillId="11" borderId="1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64" fillId="0" borderId="0" applyNumberFormat="0" applyFill="0" applyBorder="0" applyAlignment="0" applyProtection="0"/>
    <xf numFmtId="44" fontId="67" fillId="0" borderId="0" applyFont="0" applyFill="0" applyBorder="0" applyAlignment="0" applyProtection="0"/>
  </cellStyleXfs>
  <cellXfs count="173">
    <xf numFmtId="0" fontId="0" fillId="0" borderId="0" xfId="0"/>
    <xf numFmtId="0" fontId="19" fillId="0" borderId="0" xfId="7"/>
    <xf numFmtId="0" fontId="38" fillId="4" borderId="0" xfId="69" applyFont="1" applyFill="1"/>
    <xf numFmtId="0" fontId="39" fillId="0" borderId="21" xfId="70" applyFont="1" applyBorder="1" applyAlignment="1">
      <alignment horizontal="center" vertical="center"/>
    </xf>
    <xf numFmtId="0" fontId="38" fillId="0" borderId="2" xfId="70" applyFont="1" applyBorder="1" applyAlignment="1">
      <alignment vertical="center"/>
    </xf>
    <xf numFmtId="0" fontId="38" fillId="0" borderId="3" xfId="70" applyFont="1" applyBorder="1" applyAlignment="1">
      <alignment vertical="center"/>
    </xf>
    <xf numFmtId="0" fontId="41" fillId="0" borderId="0" xfId="0" applyFont="1"/>
    <xf numFmtId="0" fontId="41" fillId="2" borderId="0" xfId="0" applyFont="1" applyFill="1"/>
    <xf numFmtId="0" fontId="41" fillId="0" borderId="0" xfId="0" applyFont="1" applyAlignment="1">
      <alignment vertical="center" wrapText="1"/>
    </xf>
    <xf numFmtId="0" fontId="41" fillId="4" borderId="0" xfId="0" applyFont="1" applyFill="1"/>
    <xf numFmtId="0" fontId="41" fillId="0" borderId="0" xfId="7" applyFont="1"/>
    <xf numFmtId="164" fontId="41" fillId="0" borderId="0" xfId="7" applyNumberFormat="1" applyFont="1"/>
    <xf numFmtId="0" fontId="41" fillId="36" borderId="0" xfId="0" applyFont="1" applyFill="1"/>
    <xf numFmtId="0" fontId="42" fillId="0" borderId="20" xfId="7" applyFont="1" applyBorder="1" applyAlignment="1">
      <alignment horizontal="center" vertical="center"/>
    </xf>
    <xf numFmtId="0" fontId="42" fillId="0" borderId="21" xfId="7" applyFont="1" applyBorder="1" applyAlignment="1">
      <alignment vertical="center"/>
    </xf>
    <xf numFmtId="0" fontId="42" fillId="0" borderId="22" xfId="7" applyFont="1" applyBorder="1" applyAlignment="1">
      <alignment vertical="center"/>
    </xf>
    <xf numFmtId="0" fontId="42" fillId="0" borderId="20" xfId="0" applyFont="1" applyBorder="1"/>
    <xf numFmtId="0" fontId="42" fillId="0" borderId="22" xfId="0" applyFont="1" applyBorder="1"/>
    <xf numFmtId="0" fontId="42" fillId="2" borderId="0" xfId="0" applyFont="1" applyFill="1"/>
    <xf numFmtId="0" fontId="42" fillId="3" borderId="1" xfId="0" applyFont="1" applyFill="1" applyBorder="1"/>
    <xf numFmtId="0" fontId="41" fillId="0" borderId="2" xfId="7" applyFont="1" applyBorder="1" applyAlignment="1">
      <alignment vertical="center"/>
    </xf>
    <xf numFmtId="0" fontId="41" fillId="0" borderId="19" xfId="7" applyFont="1" applyBorder="1" applyAlignment="1">
      <alignment vertical="center"/>
    </xf>
    <xf numFmtId="0" fontId="41" fillId="0" borderId="18" xfId="0" applyFont="1" applyBorder="1"/>
    <xf numFmtId="0" fontId="41" fillId="0" borderId="19" xfId="0" applyFont="1" applyBorder="1"/>
    <xf numFmtId="0" fontId="41" fillId="3" borderId="2" xfId="0" applyFont="1" applyFill="1" applyBorder="1"/>
    <xf numFmtId="0" fontId="41" fillId="3" borderId="1" xfId="0" applyFont="1" applyFill="1" applyBorder="1"/>
    <xf numFmtId="0" fontId="41" fillId="0" borderId="3" xfId="7" applyFont="1" applyBorder="1" applyAlignment="1">
      <alignment vertical="center"/>
    </xf>
    <xf numFmtId="0" fontId="41" fillId="0" borderId="16" xfId="7" applyFont="1" applyBorder="1" applyAlignment="1">
      <alignment vertical="center"/>
    </xf>
    <xf numFmtId="0" fontId="41" fillId="0" borderId="15" xfId="0" applyFont="1" applyBorder="1"/>
    <xf numFmtId="0" fontId="41" fillId="0" borderId="16" xfId="0" applyFont="1" applyBorder="1"/>
    <xf numFmtId="0" fontId="41" fillId="3" borderId="3" xfId="0" applyFont="1" applyFill="1" applyBorder="1"/>
    <xf numFmtId="0" fontId="41" fillId="0" borderId="3" xfId="0" applyFont="1" applyBorder="1"/>
    <xf numFmtId="0" fontId="41" fillId="0" borderId="13" xfId="0" applyFont="1" applyBorder="1"/>
    <xf numFmtId="0" fontId="41" fillId="0" borderId="14" xfId="0" applyFont="1" applyBorder="1"/>
    <xf numFmtId="0" fontId="41" fillId="0" borderId="17" xfId="0" applyFont="1" applyBorder="1"/>
    <xf numFmtId="0" fontId="41" fillId="36" borderId="0" xfId="7" applyFont="1" applyFill="1"/>
    <xf numFmtId="0" fontId="41" fillId="2" borderId="0" xfId="0" applyFont="1" applyFill="1" applyAlignment="1">
      <alignment vertical="center"/>
    </xf>
    <xf numFmtId="0" fontId="42" fillId="2" borderId="3" xfId="0" applyFont="1" applyFill="1" applyBorder="1" applyAlignment="1">
      <alignment horizontal="left" vertical="center" wrapText="1"/>
    </xf>
    <xf numFmtId="0" fontId="42" fillId="2" borderId="3" xfId="0" applyFont="1" applyFill="1" applyBorder="1" applyAlignment="1">
      <alignment vertical="center" wrapText="1"/>
    </xf>
    <xf numFmtId="0" fontId="42" fillId="2" borderId="0" xfId="7" applyFont="1" applyFill="1" applyAlignment="1">
      <alignment vertical="center"/>
    </xf>
    <xf numFmtId="0" fontId="41" fillId="3" borderId="2" xfId="7" applyFont="1" applyFill="1" applyBorder="1" applyAlignment="1">
      <alignment vertical="center"/>
    </xf>
    <xf numFmtId="0" fontId="41" fillId="3" borderId="2" xfId="0" applyFont="1" applyFill="1" applyBorder="1" applyAlignment="1">
      <alignment vertical="center"/>
    </xf>
    <xf numFmtId="0" fontId="41" fillId="3" borderId="3" xfId="0" applyFont="1" applyFill="1" applyBorder="1" applyAlignment="1">
      <alignment vertical="center"/>
    </xf>
    <xf numFmtId="0" fontId="41" fillId="2" borderId="0" xfId="7" applyFont="1" applyFill="1" applyAlignment="1">
      <alignment vertical="center"/>
    </xf>
    <xf numFmtId="0" fontId="41" fillId="3" borderId="3" xfId="7" applyFont="1" applyFill="1" applyBorder="1" applyAlignment="1">
      <alignment vertical="center"/>
    </xf>
    <xf numFmtId="0" fontId="41" fillId="0" borderId="0" xfId="7" applyFont="1" applyAlignment="1">
      <alignment vertical="center"/>
    </xf>
    <xf numFmtId="0" fontId="41" fillId="3" borderId="1" xfId="0" applyFont="1" applyFill="1" applyBorder="1" applyAlignment="1">
      <alignment vertical="center"/>
    </xf>
    <xf numFmtId="0" fontId="42" fillId="0" borderId="0" xfId="0" applyFont="1" applyAlignment="1">
      <alignment vertical="center" wrapText="1"/>
    </xf>
    <xf numFmtId="0" fontId="19" fillId="0" borderId="0" xfId="0" applyFont="1"/>
    <xf numFmtId="0" fontId="9" fillId="0" borderId="0" xfId="86"/>
    <xf numFmtId="0" fontId="41" fillId="3" borderId="15" xfId="0" applyFont="1" applyFill="1" applyBorder="1"/>
    <xf numFmtId="0" fontId="41" fillId="3" borderId="16" xfId="0" applyFont="1" applyFill="1" applyBorder="1"/>
    <xf numFmtId="0" fontId="44" fillId="0" borderId="0" xfId="0" applyFont="1" applyAlignment="1">
      <alignment horizontal="center"/>
    </xf>
    <xf numFmtId="0" fontId="43" fillId="0" borderId="0" xfId="0" applyFont="1" applyAlignment="1">
      <alignment horizontal="center"/>
    </xf>
    <xf numFmtId="0" fontId="36" fillId="0" borderId="0" xfId="0" applyFont="1" applyAlignment="1">
      <alignment vertical="center"/>
    </xf>
    <xf numFmtId="2" fontId="19" fillId="2" borderId="0" xfId="0" applyNumberFormat="1" applyFont="1" applyFill="1"/>
    <xf numFmtId="2" fontId="0" fillId="2" borderId="0" xfId="0" applyNumberFormat="1" applyFill="1"/>
    <xf numFmtId="2" fontId="46" fillId="2" borderId="0" xfId="0" applyNumberFormat="1" applyFont="1" applyFill="1"/>
    <xf numFmtId="2" fontId="0" fillId="3" borderId="0" xfId="0" applyNumberFormat="1" applyFill="1"/>
    <xf numFmtId="2" fontId="19" fillId="37" borderId="0" xfId="0" applyNumberFormat="1" applyFont="1" applyFill="1"/>
    <xf numFmtId="2" fontId="0" fillId="37" borderId="0" xfId="0" applyNumberFormat="1" applyFill="1"/>
    <xf numFmtId="2" fontId="0" fillId="3" borderId="3" xfId="0" applyNumberFormat="1" applyFill="1" applyBorder="1"/>
    <xf numFmtId="2" fontId="19" fillId="3" borderId="3" xfId="0" applyNumberFormat="1" applyFont="1" applyFill="1" applyBorder="1"/>
    <xf numFmtId="1" fontId="41" fillId="0" borderId="3" xfId="7" applyNumberFormat="1" applyFont="1" applyBorder="1"/>
    <xf numFmtId="0" fontId="39" fillId="0" borderId="0" xfId="69" applyFont="1"/>
    <xf numFmtId="0" fontId="42" fillId="0" borderId="0" xfId="7" applyFont="1"/>
    <xf numFmtId="0" fontId="40" fillId="38" borderId="23" xfId="7" applyFont="1" applyFill="1" applyBorder="1" applyAlignment="1">
      <alignment horizontal="center" vertical="center" wrapText="1"/>
    </xf>
    <xf numFmtId="0" fontId="40" fillId="38" borderId="24" xfId="7" applyFont="1" applyFill="1" applyBorder="1" applyAlignment="1">
      <alignment horizontal="center" vertical="center" wrapText="1"/>
    </xf>
    <xf numFmtId="0" fontId="0" fillId="4" borderId="0" xfId="0" applyFill="1"/>
    <xf numFmtId="0" fontId="42" fillId="3" borderId="3" xfId="0" applyFont="1" applyFill="1" applyBorder="1"/>
    <xf numFmtId="0" fontId="37" fillId="2" borderId="0" xfId="0" applyFont="1" applyFill="1"/>
    <xf numFmtId="0" fontId="45" fillId="2" borderId="0" xfId="0" applyFont="1" applyFill="1" applyAlignment="1">
      <alignment vertical="center"/>
    </xf>
    <xf numFmtId="0" fontId="41" fillId="3" borderId="0" xfId="0" applyFont="1" applyFill="1"/>
    <xf numFmtId="0" fontId="37" fillId="3" borderId="0" xfId="0" applyFont="1" applyFill="1"/>
    <xf numFmtId="0" fontId="41" fillId="3" borderId="1" xfId="0" applyFont="1" applyFill="1" applyBorder="1" applyAlignment="1">
      <alignment horizontal="right"/>
    </xf>
    <xf numFmtId="1" fontId="41" fillId="3" borderId="1" xfId="0" applyNumberFormat="1" applyFont="1" applyFill="1" applyBorder="1" applyAlignment="1">
      <alignment horizontal="right"/>
    </xf>
    <xf numFmtId="164" fontId="41" fillId="3" borderId="1" xfId="0" applyNumberFormat="1" applyFont="1" applyFill="1" applyBorder="1" applyAlignment="1">
      <alignment horizontal="right"/>
    </xf>
    <xf numFmtId="9" fontId="41" fillId="3" borderId="1" xfId="0" applyNumberFormat="1" applyFont="1" applyFill="1" applyBorder="1" applyAlignment="1">
      <alignment horizontal="right"/>
    </xf>
    <xf numFmtId="2" fontId="41" fillId="3" borderId="1" xfId="0" applyNumberFormat="1" applyFont="1" applyFill="1" applyBorder="1" applyAlignment="1">
      <alignment horizontal="right"/>
    </xf>
    <xf numFmtId="0" fontId="42" fillId="3" borderId="1" xfId="0" applyFont="1" applyFill="1" applyBorder="1" applyAlignment="1">
      <alignment horizontal="center"/>
    </xf>
    <xf numFmtId="0" fontId="41" fillId="39" borderId="0" xfId="0" applyFont="1" applyFill="1"/>
    <xf numFmtId="0" fontId="42" fillId="3" borderId="3" xfId="0" applyFont="1" applyFill="1" applyBorder="1" applyAlignment="1">
      <alignment wrapText="1"/>
    </xf>
    <xf numFmtId="0" fontId="0" fillId="36" borderId="0" xfId="0" applyFill="1"/>
    <xf numFmtId="0" fontId="51" fillId="3" borderId="0" xfId="0" applyFont="1" applyFill="1"/>
    <xf numFmtId="0" fontId="52" fillId="36" borderId="0" xfId="0" applyFont="1" applyFill="1"/>
    <xf numFmtId="49" fontId="41" fillId="3" borderId="1" xfId="0" applyNumberFormat="1" applyFont="1" applyFill="1" applyBorder="1" applyAlignment="1">
      <alignment horizontal="right"/>
    </xf>
    <xf numFmtId="3" fontId="41" fillId="3" borderId="1" xfId="0" applyNumberFormat="1" applyFont="1" applyFill="1" applyBorder="1" applyAlignment="1">
      <alignment horizontal="right"/>
    </xf>
    <xf numFmtId="0" fontId="0" fillId="40" borderId="0" xfId="0" applyFill="1"/>
    <xf numFmtId="0" fontId="19" fillId="40" borderId="0" xfId="0" applyFont="1" applyFill="1"/>
    <xf numFmtId="0" fontId="0" fillId="40" borderId="0" xfId="0" applyFill="1" applyAlignment="1">
      <alignment wrapText="1"/>
    </xf>
    <xf numFmtId="0" fontId="19" fillId="40" borderId="0" xfId="0" applyFont="1" applyFill="1" applyAlignment="1">
      <alignment wrapText="1"/>
    </xf>
    <xf numFmtId="0" fontId="19" fillId="3" borderId="0" xfId="0" applyFont="1" applyFill="1"/>
    <xf numFmtId="0" fontId="0" fillId="3" borderId="0" xfId="0" applyFill="1"/>
    <xf numFmtId="0" fontId="37" fillId="3" borderId="0" xfId="0" applyFont="1" applyFill="1" applyAlignment="1">
      <alignment horizontal="left" wrapText="1"/>
    </xf>
    <xf numFmtId="0" fontId="48" fillId="3" borderId="0" xfId="0" applyFont="1" applyFill="1" applyAlignment="1">
      <alignment vertical="center" wrapText="1"/>
    </xf>
    <xf numFmtId="0" fontId="45" fillId="3" borderId="0" xfId="0" applyFont="1" applyFill="1" applyAlignment="1">
      <alignment horizontal="left" wrapText="1"/>
    </xf>
    <xf numFmtId="0" fontId="46" fillId="3" borderId="0" xfId="0" applyFont="1" applyFill="1"/>
    <xf numFmtId="0" fontId="46" fillId="40" borderId="0" xfId="0" applyFont="1" applyFill="1"/>
    <xf numFmtId="49" fontId="19" fillId="3" borderId="0" xfId="0" applyNumberFormat="1" applyFont="1" applyFill="1"/>
    <xf numFmtId="49" fontId="0" fillId="3" borderId="0" xfId="0" applyNumberFormat="1" applyFill="1"/>
    <xf numFmtId="49" fontId="46" fillId="3" borderId="0" xfId="0" applyNumberFormat="1" applyFont="1" applyFill="1"/>
    <xf numFmtId="0" fontId="41" fillId="40" borderId="0" xfId="0" applyFont="1" applyFill="1"/>
    <xf numFmtId="0" fontId="42" fillId="40" borderId="0" xfId="0" applyFont="1" applyFill="1"/>
    <xf numFmtId="0" fontId="41" fillId="37" borderId="0" xfId="0" applyFont="1" applyFill="1"/>
    <xf numFmtId="0" fontId="53" fillId="2" borderId="0" xfId="0" applyFont="1" applyFill="1"/>
    <xf numFmtId="0" fontId="36" fillId="0" borderId="0" xfId="0" applyFont="1"/>
    <xf numFmtId="49" fontId="41" fillId="0" borderId="3" xfId="7" applyNumberFormat="1" applyFont="1" applyBorder="1"/>
    <xf numFmtId="0" fontId="45" fillId="36" borderId="0" xfId="185" applyFont="1" applyFill="1"/>
    <xf numFmtId="0" fontId="45" fillId="36" borderId="0" xfId="185" applyFont="1" applyFill="1" applyAlignment="1">
      <alignment wrapText="1"/>
    </xf>
    <xf numFmtId="0" fontId="19" fillId="36" borderId="0" xfId="185" applyFill="1"/>
    <xf numFmtId="0" fontId="46" fillId="3" borderId="3" xfId="185" applyFont="1" applyFill="1" applyBorder="1"/>
    <xf numFmtId="0" fontId="19" fillId="3" borderId="3" xfId="185" applyFill="1" applyBorder="1"/>
    <xf numFmtId="0" fontId="51" fillId="3" borderId="3" xfId="185" applyFont="1" applyFill="1" applyBorder="1" applyAlignment="1">
      <alignment horizontal="center"/>
    </xf>
    <xf numFmtId="0" fontId="54" fillId="0" borderId="3" xfId="185" applyFont="1" applyBorder="1" applyAlignment="1">
      <alignment vertical="center"/>
    </xf>
    <xf numFmtId="0" fontId="56" fillId="0" borderId="0" xfId="7" applyFont="1"/>
    <xf numFmtId="1" fontId="56" fillId="0" borderId="2" xfId="7" applyNumberFormat="1" applyFont="1" applyBorder="1"/>
    <xf numFmtId="0" fontId="57" fillId="4" borderId="0" xfId="69" applyFont="1" applyFill="1"/>
    <xf numFmtId="1" fontId="56" fillId="0" borderId="3" xfId="7" applyNumberFormat="1" applyFont="1" applyBorder="1"/>
    <xf numFmtId="0" fontId="58" fillId="41" borderId="0" xfId="0" applyFont="1" applyFill="1"/>
    <xf numFmtId="0" fontId="0" fillId="41" borderId="0" xfId="0" applyFill="1"/>
    <xf numFmtId="0" fontId="19" fillId="41" borderId="0" xfId="0" applyFont="1" applyFill="1"/>
    <xf numFmtId="0" fontId="46" fillId="41" borderId="0" xfId="0" applyFont="1" applyFill="1"/>
    <xf numFmtId="0" fontId="59" fillId="41" borderId="0" xfId="0" applyFont="1" applyFill="1"/>
    <xf numFmtId="49" fontId="41" fillId="0" borderId="0" xfId="7" applyNumberFormat="1" applyFont="1"/>
    <xf numFmtId="1" fontId="41" fillId="0" borderId="0" xfId="7" applyNumberFormat="1" applyFont="1"/>
    <xf numFmtId="0" fontId="19" fillId="4" borderId="0" xfId="0" applyFont="1" applyFill="1"/>
    <xf numFmtId="9" fontId="41" fillId="0" borderId="3" xfId="7" applyNumberFormat="1" applyFont="1" applyBorder="1"/>
    <xf numFmtId="49" fontId="60" fillId="42" borderId="31" xfId="7" applyNumberFormat="1" applyFont="1" applyFill="1" applyBorder="1"/>
    <xf numFmtId="49" fontId="60" fillId="42" borderId="29" xfId="7" applyNumberFormat="1" applyFont="1" applyFill="1" applyBorder="1" applyAlignment="1">
      <alignment horizontal="left" vertical="top"/>
    </xf>
    <xf numFmtId="49" fontId="61" fillId="38" borderId="3" xfId="7" applyNumberFormat="1" applyFont="1" applyFill="1" applyBorder="1" applyAlignment="1">
      <alignment horizontal="center" vertical="center" wrapText="1"/>
    </xf>
    <xf numFmtId="49" fontId="56" fillId="0" borderId="2" xfId="7" applyNumberFormat="1" applyFont="1" applyBorder="1"/>
    <xf numFmtId="49" fontId="56" fillId="0" borderId="3" xfId="7" applyNumberFormat="1" applyFont="1" applyBorder="1"/>
    <xf numFmtId="49" fontId="56" fillId="0" borderId="0" xfId="7" applyNumberFormat="1" applyFont="1" applyAlignment="1">
      <alignment vertical="center"/>
    </xf>
    <xf numFmtId="49" fontId="56" fillId="0" borderId="0" xfId="7" applyNumberFormat="1" applyFont="1"/>
    <xf numFmtId="49" fontId="55" fillId="38" borderId="3" xfId="7" applyNumberFormat="1" applyFont="1" applyFill="1" applyBorder="1" applyAlignment="1">
      <alignment horizontal="center" vertical="center" wrapText="1"/>
    </xf>
    <xf numFmtId="49" fontId="60" fillId="42" borderId="30" xfId="7" applyNumberFormat="1" applyFont="1" applyFill="1" applyBorder="1" applyAlignment="1">
      <alignment horizontal="center" vertical="center" wrapText="1"/>
    </xf>
    <xf numFmtId="49" fontId="60" fillId="42" borderId="31" xfId="7" applyNumberFormat="1" applyFont="1" applyFill="1" applyBorder="1" applyAlignment="1">
      <alignment horizontal="center" vertical="center"/>
    </xf>
    <xf numFmtId="0" fontId="41" fillId="3" borderId="32" xfId="0" applyFont="1" applyFill="1" applyBorder="1"/>
    <xf numFmtId="0" fontId="41" fillId="0" borderId="33" xfId="7" applyFont="1" applyBorder="1" applyAlignment="1">
      <alignment vertical="center"/>
    </xf>
    <xf numFmtId="0" fontId="41" fillId="0" borderId="27" xfId="7" applyFont="1" applyBorder="1" applyAlignment="1">
      <alignment vertical="center"/>
    </xf>
    <xf numFmtId="0" fontId="41" fillId="0" borderId="27" xfId="0" applyFont="1" applyBorder="1"/>
    <xf numFmtId="0" fontId="41" fillId="3" borderId="27" xfId="0" applyFont="1" applyFill="1" applyBorder="1"/>
    <xf numFmtId="0" fontId="41" fillId="0" borderId="34" xfId="0" applyFont="1" applyBorder="1"/>
    <xf numFmtId="0" fontId="41" fillId="3" borderId="35" xfId="0" applyFont="1" applyFill="1" applyBorder="1"/>
    <xf numFmtId="0" fontId="41" fillId="3" borderId="15" xfId="0" applyFont="1" applyFill="1" applyBorder="1" applyAlignment="1">
      <alignment vertical="center"/>
    </xf>
    <xf numFmtId="0" fontId="41" fillId="3" borderId="13" xfId="0" applyFont="1" applyFill="1" applyBorder="1"/>
    <xf numFmtId="0" fontId="38" fillId="4" borderId="3" xfId="70" applyFont="1" applyFill="1" applyBorder="1" applyAlignment="1">
      <alignment vertical="center"/>
    </xf>
    <xf numFmtId="0" fontId="64" fillId="3" borderId="0" xfId="310" applyFill="1"/>
    <xf numFmtId="0" fontId="65" fillId="0" borderId="0" xfId="0" applyFont="1"/>
    <xf numFmtId="0" fontId="66" fillId="0" borderId="0" xfId="144" applyFont="1"/>
    <xf numFmtId="3" fontId="0" fillId="0" borderId="0" xfId="0" applyNumberFormat="1"/>
    <xf numFmtId="49" fontId="0" fillId="0" borderId="0" xfId="0" applyNumberFormat="1"/>
    <xf numFmtId="49" fontId="19" fillId="0" borderId="0" xfId="0" applyNumberFormat="1" applyFont="1"/>
    <xf numFmtId="49" fontId="46" fillId="0" borderId="36" xfId="0" applyNumberFormat="1" applyFont="1" applyBorder="1"/>
    <xf numFmtId="44" fontId="0" fillId="0" borderId="0" xfId="311" applyFont="1"/>
    <xf numFmtId="0" fontId="41" fillId="3" borderId="25" xfId="0" applyFont="1" applyFill="1" applyBorder="1" applyAlignment="1">
      <alignment horizontal="left"/>
    </xf>
    <xf numFmtId="0" fontId="41" fillId="3" borderId="26" xfId="0" applyFont="1" applyFill="1" applyBorder="1" applyAlignment="1">
      <alignment horizontal="left"/>
    </xf>
    <xf numFmtId="0" fontId="41" fillId="3" borderId="27" xfId="0" applyFont="1" applyFill="1" applyBorder="1" applyAlignment="1">
      <alignment horizontal="left"/>
    </xf>
    <xf numFmtId="0" fontId="41" fillId="3" borderId="0" xfId="0" applyFont="1" applyFill="1" applyAlignment="1">
      <alignment horizontal="left"/>
    </xf>
    <xf numFmtId="0" fontId="45" fillId="0" borderId="0" xfId="0" applyFont="1" applyAlignment="1">
      <alignment horizontal="center"/>
    </xf>
    <xf numFmtId="0" fontId="37" fillId="0" borderId="0" xfId="0" applyFont="1" applyAlignment="1">
      <alignment horizontal="center"/>
    </xf>
    <xf numFmtId="0" fontId="37" fillId="3" borderId="0" xfId="7" applyFont="1" applyFill="1" applyAlignment="1">
      <alignment horizontal="center" vertical="center"/>
    </xf>
    <xf numFmtId="0" fontId="39" fillId="0" borderId="20" xfId="70" applyFont="1" applyBorder="1" applyAlignment="1">
      <alignment horizontal="center" vertical="center"/>
    </xf>
    <xf numFmtId="0" fontId="39" fillId="0" borderId="21" xfId="70" applyFont="1" applyBorder="1" applyAlignment="1">
      <alignment horizontal="center" vertical="center"/>
    </xf>
    <xf numFmtId="0" fontId="39" fillId="0" borderId="22" xfId="70" applyFont="1" applyBorder="1" applyAlignment="1">
      <alignment horizontal="center" vertical="center"/>
    </xf>
    <xf numFmtId="0" fontId="42" fillId="0" borderId="20" xfId="0" applyFont="1" applyBorder="1" applyAlignment="1">
      <alignment horizontal="center"/>
    </xf>
    <xf numFmtId="0" fontId="42" fillId="0" borderId="22" xfId="0" applyFont="1" applyBorder="1" applyAlignment="1">
      <alignment horizontal="center"/>
    </xf>
    <xf numFmtId="0" fontId="41" fillId="4" borderId="0" xfId="0" applyFont="1" applyFill="1" applyAlignment="1">
      <alignment horizontal="center" wrapText="1"/>
    </xf>
    <xf numFmtId="49" fontId="40" fillId="42" borderId="28" xfId="7" applyNumberFormat="1" applyFont="1" applyFill="1" applyBorder="1" applyAlignment="1">
      <alignment horizontal="center" vertical="center"/>
    </xf>
    <xf numFmtId="49" fontId="40" fillId="42" borderId="30" xfId="7" applyNumberFormat="1" applyFont="1" applyFill="1" applyBorder="1" applyAlignment="1">
      <alignment horizontal="center" vertical="center"/>
    </xf>
    <xf numFmtId="49" fontId="40" fillId="42" borderId="28" xfId="7" applyNumberFormat="1" applyFont="1" applyFill="1" applyBorder="1" applyAlignment="1">
      <alignment horizontal="center"/>
    </xf>
    <xf numFmtId="49" fontId="40" fillId="42" borderId="29" xfId="7" applyNumberFormat="1" applyFont="1" applyFill="1" applyBorder="1" applyAlignment="1">
      <alignment horizontal="center"/>
    </xf>
    <xf numFmtId="49" fontId="41" fillId="0" borderId="3" xfId="7" applyNumberFormat="1" applyFont="1" applyBorder="1" applyAlignment="1">
      <alignment horizontal="center"/>
    </xf>
  </cellXfs>
  <cellStyles count="312">
    <cellStyle name="20% - Accent1" xfId="28" builtinId="30" customBuiltin="1"/>
    <cellStyle name="20% - Accent1 10" xfId="173" xr:uid="{00000000-0005-0000-0000-000001000000}"/>
    <cellStyle name="20% - Accent1 2" xfId="55" xr:uid="{00000000-0005-0000-0000-000002000000}"/>
    <cellStyle name="20% - Accent1 2 2" xfId="192" xr:uid="{00000000-0005-0000-0000-000003000000}"/>
    <cellStyle name="20% - Accent1 3" xfId="74" xr:uid="{00000000-0005-0000-0000-000004000000}"/>
    <cellStyle name="20% - Accent1 3 2" xfId="212" xr:uid="{00000000-0005-0000-0000-000005000000}"/>
    <cellStyle name="20% - Accent1 4" xfId="90" xr:uid="{00000000-0005-0000-0000-000006000000}"/>
    <cellStyle name="20% - Accent1 4 2" xfId="228" xr:uid="{00000000-0005-0000-0000-000007000000}"/>
    <cellStyle name="20% - Accent1 5" xfId="104" xr:uid="{00000000-0005-0000-0000-000008000000}"/>
    <cellStyle name="20% - Accent1 5 2" xfId="242" xr:uid="{00000000-0005-0000-0000-000009000000}"/>
    <cellStyle name="20% - Accent1 6" xfId="118" xr:uid="{00000000-0005-0000-0000-00000A000000}"/>
    <cellStyle name="20% - Accent1 6 2" xfId="256" xr:uid="{00000000-0005-0000-0000-00000B000000}"/>
    <cellStyle name="20% - Accent1 7" xfId="132" xr:uid="{00000000-0005-0000-0000-00000C000000}"/>
    <cellStyle name="20% - Accent1 7 2" xfId="270" xr:uid="{00000000-0005-0000-0000-00000D000000}"/>
    <cellStyle name="20% - Accent1 8" xfId="146" xr:uid="{00000000-0005-0000-0000-00000E000000}"/>
    <cellStyle name="20% - Accent1 8 2" xfId="284" xr:uid="{00000000-0005-0000-0000-00000F000000}"/>
    <cellStyle name="20% - Accent1 9" xfId="160" xr:uid="{00000000-0005-0000-0000-000010000000}"/>
    <cellStyle name="20% - Accent1 9 2" xfId="298" xr:uid="{00000000-0005-0000-0000-000011000000}"/>
    <cellStyle name="20% - Accent2" xfId="32" builtinId="34" customBuiltin="1"/>
    <cellStyle name="20% - Accent2 10" xfId="175" xr:uid="{00000000-0005-0000-0000-000013000000}"/>
    <cellStyle name="20% - Accent2 2" xfId="57" xr:uid="{00000000-0005-0000-0000-000014000000}"/>
    <cellStyle name="20% - Accent2 2 2" xfId="194" xr:uid="{00000000-0005-0000-0000-000015000000}"/>
    <cellStyle name="20% - Accent2 3" xfId="76" xr:uid="{00000000-0005-0000-0000-000016000000}"/>
    <cellStyle name="20% - Accent2 3 2" xfId="214" xr:uid="{00000000-0005-0000-0000-000017000000}"/>
    <cellStyle name="20% - Accent2 4" xfId="92" xr:uid="{00000000-0005-0000-0000-000018000000}"/>
    <cellStyle name="20% - Accent2 4 2" xfId="230" xr:uid="{00000000-0005-0000-0000-000019000000}"/>
    <cellStyle name="20% - Accent2 5" xfId="106" xr:uid="{00000000-0005-0000-0000-00001A000000}"/>
    <cellStyle name="20% - Accent2 5 2" xfId="244" xr:uid="{00000000-0005-0000-0000-00001B000000}"/>
    <cellStyle name="20% - Accent2 6" xfId="120" xr:uid="{00000000-0005-0000-0000-00001C000000}"/>
    <cellStyle name="20% - Accent2 6 2" xfId="258" xr:uid="{00000000-0005-0000-0000-00001D000000}"/>
    <cellStyle name="20% - Accent2 7" xfId="134" xr:uid="{00000000-0005-0000-0000-00001E000000}"/>
    <cellStyle name="20% - Accent2 7 2" xfId="272" xr:uid="{00000000-0005-0000-0000-00001F000000}"/>
    <cellStyle name="20% - Accent2 8" xfId="148" xr:uid="{00000000-0005-0000-0000-000020000000}"/>
    <cellStyle name="20% - Accent2 8 2" xfId="286" xr:uid="{00000000-0005-0000-0000-000021000000}"/>
    <cellStyle name="20% - Accent2 9" xfId="162" xr:uid="{00000000-0005-0000-0000-000022000000}"/>
    <cellStyle name="20% - Accent2 9 2" xfId="300" xr:uid="{00000000-0005-0000-0000-000023000000}"/>
    <cellStyle name="20% - Accent3" xfId="36" builtinId="38" customBuiltin="1"/>
    <cellStyle name="20% - Accent3 10" xfId="177" xr:uid="{00000000-0005-0000-0000-000025000000}"/>
    <cellStyle name="20% - Accent3 2" xfId="59" xr:uid="{00000000-0005-0000-0000-000026000000}"/>
    <cellStyle name="20% - Accent3 2 2" xfId="196" xr:uid="{00000000-0005-0000-0000-000027000000}"/>
    <cellStyle name="20% - Accent3 3" xfId="78" xr:uid="{00000000-0005-0000-0000-000028000000}"/>
    <cellStyle name="20% - Accent3 3 2" xfId="216" xr:uid="{00000000-0005-0000-0000-000029000000}"/>
    <cellStyle name="20% - Accent3 4" xfId="94" xr:uid="{00000000-0005-0000-0000-00002A000000}"/>
    <cellStyle name="20% - Accent3 4 2" xfId="232" xr:uid="{00000000-0005-0000-0000-00002B000000}"/>
    <cellStyle name="20% - Accent3 5" xfId="108" xr:uid="{00000000-0005-0000-0000-00002C000000}"/>
    <cellStyle name="20% - Accent3 5 2" xfId="246" xr:uid="{00000000-0005-0000-0000-00002D000000}"/>
    <cellStyle name="20% - Accent3 6" xfId="122" xr:uid="{00000000-0005-0000-0000-00002E000000}"/>
    <cellStyle name="20% - Accent3 6 2" xfId="260" xr:uid="{00000000-0005-0000-0000-00002F000000}"/>
    <cellStyle name="20% - Accent3 7" xfId="136" xr:uid="{00000000-0005-0000-0000-000030000000}"/>
    <cellStyle name="20% - Accent3 7 2" xfId="274" xr:uid="{00000000-0005-0000-0000-000031000000}"/>
    <cellStyle name="20% - Accent3 8" xfId="150" xr:uid="{00000000-0005-0000-0000-000032000000}"/>
    <cellStyle name="20% - Accent3 8 2" xfId="288" xr:uid="{00000000-0005-0000-0000-000033000000}"/>
    <cellStyle name="20% - Accent3 9" xfId="164" xr:uid="{00000000-0005-0000-0000-000034000000}"/>
    <cellStyle name="20% - Accent3 9 2" xfId="302" xr:uid="{00000000-0005-0000-0000-000035000000}"/>
    <cellStyle name="20% - Accent4" xfId="40" builtinId="42" customBuiltin="1"/>
    <cellStyle name="20% - Accent4 10" xfId="179" xr:uid="{00000000-0005-0000-0000-000037000000}"/>
    <cellStyle name="20% - Accent4 2" xfId="61" xr:uid="{00000000-0005-0000-0000-000038000000}"/>
    <cellStyle name="20% - Accent4 2 2" xfId="198" xr:uid="{00000000-0005-0000-0000-000039000000}"/>
    <cellStyle name="20% - Accent4 3" xfId="80" xr:uid="{00000000-0005-0000-0000-00003A000000}"/>
    <cellStyle name="20% - Accent4 3 2" xfId="218" xr:uid="{00000000-0005-0000-0000-00003B000000}"/>
    <cellStyle name="20% - Accent4 4" xfId="96" xr:uid="{00000000-0005-0000-0000-00003C000000}"/>
    <cellStyle name="20% - Accent4 4 2" xfId="234" xr:uid="{00000000-0005-0000-0000-00003D000000}"/>
    <cellStyle name="20% - Accent4 5" xfId="110" xr:uid="{00000000-0005-0000-0000-00003E000000}"/>
    <cellStyle name="20% - Accent4 5 2" xfId="248" xr:uid="{00000000-0005-0000-0000-00003F000000}"/>
    <cellStyle name="20% - Accent4 6" xfId="124" xr:uid="{00000000-0005-0000-0000-000040000000}"/>
    <cellStyle name="20% - Accent4 6 2" xfId="262" xr:uid="{00000000-0005-0000-0000-000041000000}"/>
    <cellStyle name="20% - Accent4 7" xfId="138" xr:uid="{00000000-0005-0000-0000-000042000000}"/>
    <cellStyle name="20% - Accent4 7 2" xfId="276" xr:uid="{00000000-0005-0000-0000-000043000000}"/>
    <cellStyle name="20% - Accent4 8" xfId="152" xr:uid="{00000000-0005-0000-0000-000044000000}"/>
    <cellStyle name="20% - Accent4 8 2" xfId="290" xr:uid="{00000000-0005-0000-0000-000045000000}"/>
    <cellStyle name="20% - Accent4 9" xfId="166" xr:uid="{00000000-0005-0000-0000-000046000000}"/>
    <cellStyle name="20% - Accent4 9 2" xfId="304" xr:uid="{00000000-0005-0000-0000-000047000000}"/>
    <cellStyle name="20% - Accent5" xfId="44" builtinId="46" customBuiltin="1"/>
    <cellStyle name="20% - Accent5 10" xfId="181" xr:uid="{00000000-0005-0000-0000-000049000000}"/>
    <cellStyle name="20% - Accent5 2" xfId="63" xr:uid="{00000000-0005-0000-0000-00004A000000}"/>
    <cellStyle name="20% - Accent5 2 2" xfId="200" xr:uid="{00000000-0005-0000-0000-00004B000000}"/>
    <cellStyle name="20% - Accent5 3" xfId="82" xr:uid="{00000000-0005-0000-0000-00004C000000}"/>
    <cellStyle name="20% - Accent5 3 2" xfId="220" xr:uid="{00000000-0005-0000-0000-00004D000000}"/>
    <cellStyle name="20% - Accent5 4" xfId="98" xr:uid="{00000000-0005-0000-0000-00004E000000}"/>
    <cellStyle name="20% - Accent5 4 2" xfId="236" xr:uid="{00000000-0005-0000-0000-00004F000000}"/>
    <cellStyle name="20% - Accent5 5" xfId="112" xr:uid="{00000000-0005-0000-0000-000050000000}"/>
    <cellStyle name="20% - Accent5 5 2" xfId="250" xr:uid="{00000000-0005-0000-0000-000051000000}"/>
    <cellStyle name="20% - Accent5 6" xfId="126" xr:uid="{00000000-0005-0000-0000-000052000000}"/>
    <cellStyle name="20% - Accent5 6 2" xfId="264" xr:uid="{00000000-0005-0000-0000-000053000000}"/>
    <cellStyle name="20% - Accent5 7" xfId="140" xr:uid="{00000000-0005-0000-0000-000054000000}"/>
    <cellStyle name="20% - Accent5 7 2" xfId="278" xr:uid="{00000000-0005-0000-0000-000055000000}"/>
    <cellStyle name="20% - Accent5 8" xfId="154" xr:uid="{00000000-0005-0000-0000-000056000000}"/>
    <cellStyle name="20% - Accent5 8 2" xfId="292" xr:uid="{00000000-0005-0000-0000-000057000000}"/>
    <cellStyle name="20% - Accent5 9" xfId="168" xr:uid="{00000000-0005-0000-0000-000058000000}"/>
    <cellStyle name="20% - Accent5 9 2" xfId="306" xr:uid="{00000000-0005-0000-0000-000059000000}"/>
    <cellStyle name="20% - Accent6" xfId="48" builtinId="50" customBuiltin="1"/>
    <cellStyle name="20% - Accent6 10" xfId="183" xr:uid="{00000000-0005-0000-0000-00005B000000}"/>
    <cellStyle name="20% - Accent6 2" xfId="65" xr:uid="{00000000-0005-0000-0000-00005C000000}"/>
    <cellStyle name="20% - Accent6 2 2" xfId="202" xr:uid="{00000000-0005-0000-0000-00005D000000}"/>
    <cellStyle name="20% - Accent6 3" xfId="84" xr:uid="{00000000-0005-0000-0000-00005E000000}"/>
    <cellStyle name="20% - Accent6 3 2" xfId="222" xr:uid="{00000000-0005-0000-0000-00005F000000}"/>
    <cellStyle name="20% - Accent6 4" xfId="100" xr:uid="{00000000-0005-0000-0000-000060000000}"/>
    <cellStyle name="20% - Accent6 4 2" xfId="238" xr:uid="{00000000-0005-0000-0000-000061000000}"/>
    <cellStyle name="20% - Accent6 5" xfId="114" xr:uid="{00000000-0005-0000-0000-000062000000}"/>
    <cellStyle name="20% - Accent6 5 2" xfId="252" xr:uid="{00000000-0005-0000-0000-000063000000}"/>
    <cellStyle name="20% - Accent6 6" xfId="128" xr:uid="{00000000-0005-0000-0000-000064000000}"/>
    <cellStyle name="20% - Accent6 6 2" xfId="266" xr:uid="{00000000-0005-0000-0000-000065000000}"/>
    <cellStyle name="20% - Accent6 7" xfId="142" xr:uid="{00000000-0005-0000-0000-000066000000}"/>
    <cellStyle name="20% - Accent6 7 2" xfId="280" xr:uid="{00000000-0005-0000-0000-000067000000}"/>
    <cellStyle name="20% - Accent6 8" xfId="156" xr:uid="{00000000-0005-0000-0000-000068000000}"/>
    <cellStyle name="20% - Accent6 8 2" xfId="294" xr:uid="{00000000-0005-0000-0000-000069000000}"/>
    <cellStyle name="20% - Accent6 9" xfId="170" xr:uid="{00000000-0005-0000-0000-00006A000000}"/>
    <cellStyle name="20% - Accent6 9 2" xfId="308" xr:uid="{00000000-0005-0000-0000-00006B000000}"/>
    <cellStyle name="40% - Accent1" xfId="29" builtinId="31" customBuiltin="1"/>
    <cellStyle name="40% - Accent1 10" xfId="174" xr:uid="{00000000-0005-0000-0000-00006D000000}"/>
    <cellStyle name="40% - Accent1 2" xfId="56" xr:uid="{00000000-0005-0000-0000-00006E000000}"/>
    <cellStyle name="40% - Accent1 2 2" xfId="193" xr:uid="{00000000-0005-0000-0000-00006F000000}"/>
    <cellStyle name="40% - Accent1 3" xfId="75" xr:uid="{00000000-0005-0000-0000-000070000000}"/>
    <cellStyle name="40% - Accent1 3 2" xfId="213" xr:uid="{00000000-0005-0000-0000-000071000000}"/>
    <cellStyle name="40% - Accent1 4" xfId="91" xr:uid="{00000000-0005-0000-0000-000072000000}"/>
    <cellStyle name="40% - Accent1 4 2" xfId="229" xr:uid="{00000000-0005-0000-0000-000073000000}"/>
    <cellStyle name="40% - Accent1 5" xfId="105" xr:uid="{00000000-0005-0000-0000-000074000000}"/>
    <cellStyle name="40% - Accent1 5 2" xfId="243" xr:uid="{00000000-0005-0000-0000-000075000000}"/>
    <cellStyle name="40% - Accent1 6" xfId="119" xr:uid="{00000000-0005-0000-0000-000076000000}"/>
    <cellStyle name="40% - Accent1 6 2" xfId="257" xr:uid="{00000000-0005-0000-0000-000077000000}"/>
    <cellStyle name="40% - Accent1 7" xfId="133" xr:uid="{00000000-0005-0000-0000-000078000000}"/>
    <cellStyle name="40% - Accent1 7 2" xfId="271" xr:uid="{00000000-0005-0000-0000-000079000000}"/>
    <cellStyle name="40% - Accent1 8" xfId="147" xr:uid="{00000000-0005-0000-0000-00007A000000}"/>
    <cellStyle name="40% - Accent1 8 2" xfId="285" xr:uid="{00000000-0005-0000-0000-00007B000000}"/>
    <cellStyle name="40% - Accent1 9" xfId="161" xr:uid="{00000000-0005-0000-0000-00007C000000}"/>
    <cellStyle name="40% - Accent1 9 2" xfId="299" xr:uid="{00000000-0005-0000-0000-00007D000000}"/>
    <cellStyle name="40% - Accent2" xfId="33" builtinId="35" customBuiltin="1"/>
    <cellStyle name="40% - Accent2 10" xfId="176" xr:uid="{00000000-0005-0000-0000-00007F000000}"/>
    <cellStyle name="40% - Accent2 2" xfId="58" xr:uid="{00000000-0005-0000-0000-000080000000}"/>
    <cellStyle name="40% - Accent2 2 2" xfId="195" xr:uid="{00000000-0005-0000-0000-000081000000}"/>
    <cellStyle name="40% - Accent2 3" xfId="77" xr:uid="{00000000-0005-0000-0000-000082000000}"/>
    <cellStyle name="40% - Accent2 3 2" xfId="215" xr:uid="{00000000-0005-0000-0000-000083000000}"/>
    <cellStyle name="40% - Accent2 4" xfId="93" xr:uid="{00000000-0005-0000-0000-000084000000}"/>
    <cellStyle name="40% - Accent2 4 2" xfId="231" xr:uid="{00000000-0005-0000-0000-000085000000}"/>
    <cellStyle name="40% - Accent2 5" xfId="107" xr:uid="{00000000-0005-0000-0000-000086000000}"/>
    <cellStyle name="40% - Accent2 5 2" xfId="245" xr:uid="{00000000-0005-0000-0000-000087000000}"/>
    <cellStyle name="40% - Accent2 6" xfId="121" xr:uid="{00000000-0005-0000-0000-000088000000}"/>
    <cellStyle name="40% - Accent2 6 2" xfId="259" xr:uid="{00000000-0005-0000-0000-000089000000}"/>
    <cellStyle name="40% - Accent2 7" xfId="135" xr:uid="{00000000-0005-0000-0000-00008A000000}"/>
    <cellStyle name="40% - Accent2 7 2" xfId="273" xr:uid="{00000000-0005-0000-0000-00008B000000}"/>
    <cellStyle name="40% - Accent2 8" xfId="149" xr:uid="{00000000-0005-0000-0000-00008C000000}"/>
    <cellStyle name="40% - Accent2 8 2" xfId="287" xr:uid="{00000000-0005-0000-0000-00008D000000}"/>
    <cellStyle name="40% - Accent2 9" xfId="163" xr:uid="{00000000-0005-0000-0000-00008E000000}"/>
    <cellStyle name="40% - Accent2 9 2" xfId="301" xr:uid="{00000000-0005-0000-0000-00008F000000}"/>
    <cellStyle name="40% - Accent3" xfId="37" builtinId="39" customBuiltin="1"/>
    <cellStyle name="40% - Accent3 10" xfId="178" xr:uid="{00000000-0005-0000-0000-000091000000}"/>
    <cellStyle name="40% - Accent3 2" xfId="60" xr:uid="{00000000-0005-0000-0000-000092000000}"/>
    <cellStyle name="40% - Accent3 2 2" xfId="197" xr:uid="{00000000-0005-0000-0000-000093000000}"/>
    <cellStyle name="40% - Accent3 3" xfId="79" xr:uid="{00000000-0005-0000-0000-000094000000}"/>
    <cellStyle name="40% - Accent3 3 2" xfId="217" xr:uid="{00000000-0005-0000-0000-000095000000}"/>
    <cellStyle name="40% - Accent3 4" xfId="95" xr:uid="{00000000-0005-0000-0000-000096000000}"/>
    <cellStyle name="40% - Accent3 4 2" xfId="233" xr:uid="{00000000-0005-0000-0000-000097000000}"/>
    <cellStyle name="40% - Accent3 5" xfId="109" xr:uid="{00000000-0005-0000-0000-000098000000}"/>
    <cellStyle name="40% - Accent3 5 2" xfId="247" xr:uid="{00000000-0005-0000-0000-000099000000}"/>
    <cellStyle name="40% - Accent3 6" xfId="123" xr:uid="{00000000-0005-0000-0000-00009A000000}"/>
    <cellStyle name="40% - Accent3 6 2" xfId="261" xr:uid="{00000000-0005-0000-0000-00009B000000}"/>
    <cellStyle name="40% - Accent3 7" xfId="137" xr:uid="{00000000-0005-0000-0000-00009C000000}"/>
    <cellStyle name="40% - Accent3 7 2" xfId="275" xr:uid="{00000000-0005-0000-0000-00009D000000}"/>
    <cellStyle name="40% - Accent3 8" xfId="151" xr:uid="{00000000-0005-0000-0000-00009E000000}"/>
    <cellStyle name="40% - Accent3 8 2" xfId="289" xr:uid="{00000000-0005-0000-0000-00009F000000}"/>
    <cellStyle name="40% - Accent3 9" xfId="165" xr:uid="{00000000-0005-0000-0000-0000A0000000}"/>
    <cellStyle name="40% - Accent3 9 2" xfId="303" xr:uid="{00000000-0005-0000-0000-0000A1000000}"/>
    <cellStyle name="40% - Accent4" xfId="41" builtinId="43" customBuiltin="1"/>
    <cellStyle name="40% - Accent4 10" xfId="180" xr:uid="{00000000-0005-0000-0000-0000A3000000}"/>
    <cellStyle name="40% - Accent4 2" xfId="62" xr:uid="{00000000-0005-0000-0000-0000A4000000}"/>
    <cellStyle name="40% - Accent4 2 2" xfId="199" xr:uid="{00000000-0005-0000-0000-0000A5000000}"/>
    <cellStyle name="40% - Accent4 3" xfId="81" xr:uid="{00000000-0005-0000-0000-0000A6000000}"/>
    <cellStyle name="40% - Accent4 3 2" xfId="219" xr:uid="{00000000-0005-0000-0000-0000A7000000}"/>
    <cellStyle name="40% - Accent4 4" xfId="97" xr:uid="{00000000-0005-0000-0000-0000A8000000}"/>
    <cellStyle name="40% - Accent4 4 2" xfId="235" xr:uid="{00000000-0005-0000-0000-0000A9000000}"/>
    <cellStyle name="40% - Accent4 5" xfId="111" xr:uid="{00000000-0005-0000-0000-0000AA000000}"/>
    <cellStyle name="40% - Accent4 5 2" xfId="249" xr:uid="{00000000-0005-0000-0000-0000AB000000}"/>
    <cellStyle name="40% - Accent4 6" xfId="125" xr:uid="{00000000-0005-0000-0000-0000AC000000}"/>
    <cellStyle name="40% - Accent4 6 2" xfId="263" xr:uid="{00000000-0005-0000-0000-0000AD000000}"/>
    <cellStyle name="40% - Accent4 7" xfId="139" xr:uid="{00000000-0005-0000-0000-0000AE000000}"/>
    <cellStyle name="40% - Accent4 7 2" xfId="277" xr:uid="{00000000-0005-0000-0000-0000AF000000}"/>
    <cellStyle name="40% - Accent4 8" xfId="153" xr:uid="{00000000-0005-0000-0000-0000B0000000}"/>
    <cellStyle name="40% - Accent4 8 2" xfId="291" xr:uid="{00000000-0005-0000-0000-0000B1000000}"/>
    <cellStyle name="40% - Accent4 9" xfId="167" xr:uid="{00000000-0005-0000-0000-0000B2000000}"/>
    <cellStyle name="40% - Accent4 9 2" xfId="305" xr:uid="{00000000-0005-0000-0000-0000B3000000}"/>
    <cellStyle name="40% - Accent5" xfId="45" builtinId="47" customBuiltin="1"/>
    <cellStyle name="40% - Accent5 10" xfId="182" xr:uid="{00000000-0005-0000-0000-0000B5000000}"/>
    <cellStyle name="40% - Accent5 2" xfId="64" xr:uid="{00000000-0005-0000-0000-0000B6000000}"/>
    <cellStyle name="40% - Accent5 2 2" xfId="201" xr:uid="{00000000-0005-0000-0000-0000B7000000}"/>
    <cellStyle name="40% - Accent5 3" xfId="83" xr:uid="{00000000-0005-0000-0000-0000B8000000}"/>
    <cellStyle name="40% - Accent5 3 2" xfId="221" xr:uid="{00000000-0005-0000-0000-0000B9000000}"/>
    <cellStyle name="40% - Accent5 4" xfId="99" xr:uid="{00000000-0005-0000-0000-0000BA000000}"/>
    <cellStyle name="40% - Accent5 4 2" xfId="237" xr:uid="{00000000-0005-0000-0000-0000BB000000}"/>
    <cellStyle name="40% - Accent5 5" xfId="113" xr:uid="{00000000-0005-0000-0000-0000BC000000}"/>
    <cellStyle name="40% - Accent5 5 2" xfId="251" xr:uid="{00000000-0005-0000-0000-0000BD000000}"/>
    <cellStyle name="40% - Accent5 6" xfId="127" xr:uid="{00000000-0005-0000-0000-0000BE000000}"/>
    <cellStyle name="40% - Accent5 6 2" xfId="265" xr:uid="{00000000-0005-0000-0000-0000BF000000}"/>
    <cellStyle name="40% - Accent5 7" xfId="141" xr:uid="{00000000-0005-0000-0000-0000C0000000}"/>
    <cellStyle name="40% - Accent5 7 2" xfId="279" xr:uid="{00000000-0005-0000-0000-0000C1000000}"/>
    <cellStyle name="40% - Accent5 8" xfId="155" xr:uid="{00000000-0005-0000-0000-0000C2000000}"/>
    <cellStyle name="40% - Accent5 8 2" xfId="293" xr:uid="{00000000-0005-0000-0000-0000C3000000}"/>
    <cellStyle name="40% - Accent5 9" xfId="169" xr:uid="{00000000-0005-0000-0000-0000C4000000}"/>
    <cellStyle name="40% - Accent5 9 2" xfId="307" xr:uid="{00000000-0005-0000-0000-0000C5000000}"/>
    <cellStyle name="40% - Accent6" xfId="49" builtinId="51" customBuiltin="1"/>
    <cellStyle name="40% - Accent6 10" xfId="184" xr:uid="{00000000-0005-0000-0000-0000C7000000}"/>
    <cellStyle name="40% - Accent6 2" xfId="66" xr:uid="{00000000-0005-0000-0000-0000C8000000}"/>
    <cellStyle name="40% - Accent6 2 2" xfId="203" xr:uid="{00000000-0005-0000-0000-0000C9000000}"/>
    <cellStyle name="40% - Accent6 3" xfId="85" xr:uid="{00000000-0005-0000-0000-0000CA000000}"/>
    <cellStyle name="40% - Accent6 3 2" xfId="223" xr:uid="{00000000-0005-0000-0000-0000CB000000}"/>
    <cellStyle name="40% - Accent6 4" xfId="101" xr:uid="{00000000-0005-0000-0000-0000CC000000}"/>
    <cellStyle name="40% - Accent6 4 2" xfId="239" xr:uid="{00000000-0005-0000-0000-0000CD000000}"/>
    <cellStyle name="40% - Accent6 5" xfId="115" xr:uid="{00000000-0005-0000-0000-0000CE000000}"/>
    <cellStyle name="40% - Accent6 5 2" xfId="253" xr:uid="{00000000-0005-0000-0000-0000CF000000}"/>
    <cellStyle name="40% - Accent6 6" xfId="129" xr:uid="{00000000-0005-0000-0000-0000D0000000}"/>
    <cellStyle name="40% - Accent6 6 2" xfId="267" xr:uid="{00000000-0005-0000-0000-0000D1000000}"/>
    <cellStyle name="40% - Accent6 7" xfId="143" xr:uid="{00000000-0005-0000-0000-0000D2000000}"/>
    <cellStyle name="40% - Accent6 7 2" xfId="281" xr:uid="{00000000-0005-0000-0000-0000D3000000}"/>
    <cellStyle name="40% - Accent6 8" xfId="157" xr:uid="{00000000-0005-0000-0000-0000D4000000}"/>
    <cellStyle name="40% - Accent6 8 2" xfId="295" xr:uid="{00000000-0005-0000-0000-0000D5000000}"/>
    <cellStyle name="40% - Accent6 9" xfId="171" xr:uid="{00000000-0005-0000-0000-0000D6000000}"/>
    <cellStyle name="40% - Accent6 9 2" xfId="309" xr:uid="{00000000-0005-0000-0000-0000D7000000}"/>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7" builtinId="27" customBuiltin="1"/>
    <cellStyle name="Calculation" xfId="21" builtinId="22" customBuiltin="1"/>
    <cellStyle name="Check Cell" xfId="23" builtinId="23" customBuiltin="1"/>
    <cellStyle name="Comma 2" xfId="3" xr:uid="{00000000-0005-0000-0000-0000E7000000}"/>
    <cellStyle name="Currency" xfId="311" builtinId="4"/>
    <cellStyle name="Currency 2" xfId="2" xr:uid="{00000000-0005-0000-0000-0000E8000000}"/>
    <cellStyle name="Currency 3" xfId="9" xr:uid="{00000000-0005-0000-0000-0000E9000000}"/>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310" builtinId="8"/>
    <cellStyle name="Input" xfId="19" builtinId="20" customBuiltin="1"/>
    <cellStyle name="Linked Cell" xfId="22" builtinId="24" customBuiltin="1"/>
    <cellStyle name="Neutral" xfId="18" builtinId="28" customBuiltin="1"/>
    <cellStyle name="Normal" xfId="0" builtinId="0"/>
    <cellStyle name="Normal 10" xfId="130" xr:uid="{00000000-0005-0000-0000-0000F4000000}"/>
    <cellStyle name="Normal 10 2" xfId="268" xr:uid="{00000000-0005-0000-0000-0000F5000000}"/>
    <cellStyle name="Normal 11" xfId="144" xr:uid="{00000000-0005-0000-0000-0000F6000000}"/>
    <cellStyle name="Normal 11 2" xfId="282" xr:uid="{00000000-0005-0000-0000-0000F7000000}"/>
    <cellStyle name="Normal 12" xfId="158" xr:uid="{00000000-0005-0000-0000-0000F8000000}"/>
    <cellStyle name="Normal 12 2" xfId="296" xr:uid="{00000000-0005-0000-0000-0000F9000000}"/>
    <cellStyle name="Normal 13" xfId="185" xr:uid="{00000000-0005-0000-0000-0000FA000000}"/>
    <cellStyle name="Normal 14" xfId="172" xr:uid="{00000000-0005-0000-0000-0000FB000000}"/>
    <cellStyle name="Normal 2" xfId="1" xr:uid="{00000000-0005-0000-0000-0000FC000000}"/>
    <cellStyle name="Normal 2 2" xfId="4" xr:uid="{00000000-0005-0000-0000-0000FD000000}"/>
    <cellStyle name="Normal 2 3" xfId="8" xr:uid="{00000000-0005-0000-0000-0000FE000000}"/>
    <cellStyle name="Normal 2 3 2" xfId="71" xr:uid="{00000000-0005-0000-0000-0000FF000000}"/>
    <cellStyle name="Normal 2 3 2 2" xfId="208" xr:uid="{00000000-0005-0000-0000-000000010000}"/>
    <cellStyle name="Normal 2 3 3" xfId="187" xr:uid="{00000000-0005-0000-0000-000001010000}"/>
    <cellStyle name="Normal 2 4" xfId="51" xr:uid="{00000000-0005-0000-0000-000002010000}"/>
    <cellStyle name="Normal 2 4 2" xfId="188" xr:uid="{00000000-0005-0000-0000-000003010000}"/>
    <cellStyle name="Normal 2 5" xfId="54" xr:uid="{00000000-0005-0000-0000-000004010000}"/>
    <cellStyle name="Normal 2 5 2" xfId="191" xr:uid="{00000000-0005-0000-0000-000005010000}"/>
    <cellStyle name="Normal 2 6" xfId="70" xr:uid="{00000000-0005-0000-0000-000006010000}"/>
    <cellStyle name="Normal 2 6 2" xfId="207" xr:uid="{00000000-0005-0000-0000-000007010000}"/>
    <cellStyle name="Normal 2 7" xfId="186" xr:uid="{00000000-0005-0000-0000-000008010000}"/>
    <cellStyle name="Normal 3" xfId="7" xr:uid="{00000000-0005-0000-0000-000009010000}"/>
    <cellStyle name="Normal 3 2" xfId="52" xr:uid="{00000000-0005-0000-0000-00000A010000}"/>
    <cellStyle name="Normal 3 2 2" xfId="189" xr:uid="{00000000-0005-0000-0000-00000B010000}"/>
    <cellStyle name="Normal 3 3" xfId="67" xr:uid="{00000000-0005-0000-0000-00000C010000}"/>
    <cellStyle name="Normal 3 3 2" xfId="204" xr:uid="{00000000-0005-0000-0000-00000D010000}"/>
    <cellStyle name="Normal 3 4" xfId="69" xr:uid="{00000000-0005-0000-0000-00000E010000}"/>
    <cellStyle name="Normal 3 4 2" xfId="206" xr:uid="{00000000-0005-0000-0000-00000F010000}"/>
    <cellStyle name="Normal 4" xfId="72" xr:uid="{00000000-0005-0000-0000-000010010000}"/>
    <cellStyle name="Normal 4 2" xfId="210" xr:uid="{00000000-0005-0000-0000-000011010000}"/>
    <cellStyle name="Normal 5" xfId="86" xr:uid="{00000000-0005-0000-0000-000012010000}"/>
    <cellStyle name="Normal 5 2" xfId="224" xr:uid="{00000000-0005-0000-0000-000013010000}"/>
    <cellStyle name="Normal 6" xfId="87" xr:uid="{00000000-0005-0000-0000-000014010000}"/>
    <cellStyle name="Normal 6 2" xfId="225" xr:uid="{00000000-0005-0000-0000-000015010000}"/>
    <cellStyle name="Normal 7" xfId="88" xr:uid="{00000000-0005-0000-0000-000016010000}"/>
    <cellStyle name="Normal 7 2" xfId="226" xr:uid="{00000000-0005-0000-0000-000017010000}"/>
    <cellStyle name="Normal 8" xfId="102" xr:uid="{00000000-0005-0000-0000-000018010000}"/>
    <cellStyle name="Normal 8 2" xfId="240" xr:uid="{00000000-0005-0000-0000-000019010000}"/>
    <cellStyle name="Normal 9" xfId="116" xr:uid="{00000000-0005-0000-0000-00001A010000}"/>
    <cellStyle name="Normal 9 2" xfId="254" xr:uid="{00000000-0005-0000-0000-00001B010000}"/>
    <cellStyle name="Note 2" xfId="53" xr:uid="{00000000-0005-0000-0000-00001C010000}"/>
    <cellStyle name="Note 2 2" xfId="68" xr:uid="{00000000-0005-0000-0000-00001D010000}"/>
    <cellStyle name="Note 2 2 2" xfId="205" xr:uid="{00000000-0005-0000-0000-00001E010000}"/>
    <cellStyle name="Note 2 3" xfId="190" xr:uid="{00000000-0005-0000-0000-00001F010000}"/>
    <cellStyle name="Note 3" xfId="73" xr:uid="{00000000-0005-0000-0000-000020010000}"/>
    <cellStyle name="Note 3 2" xfId="211" xr:uid="{00000000-0005-0000-0000-000021010000}"/>
    <cellStyle name="Note 4" xfId="89" xr:uid="{00000000-0005-0000-0000-000022010000}"/>
    <cellStyle name="Note 4 2" xfId="227" xr:uid="{00000000-0005-0000-0000-000023010000}"/>
    <cellStyle name="Note 5" xfId="103" xr:uid="{00000000-0005-0000-0000-000024010000}"/>
    <cellStyle name="Note 5 2" xfId="241" xr:uid="{00000000-0005-0000-0000-000025010000}"/>
    <cellStyle name="Note 6" xfId="117" xr:uid="{00000000-0005-0000-0000-000026010000}"/>
    <cellStyle name="Note 6 2" xfId="255" xr:uid="{00000000-0005-0000-0000-000027010000}"/>
    <cellStyle name="Note 7" xfId="131" xr:uid="{00000000-0005-0000-0000-000028010000}"/>
    <cellStyle name="Note 7 2" xfId="269" xr:uid="{00000000-0005-0000-0000-000029010000}"/>
    <cellStyle name="Note 8" xfId="145" xr:uid="{00000000-0005-0000-0000-00002A010000}"/>
    <cellStyle name="Note 8 2" xfId="283" xr:uid="{00000000-0005-0000-0000-00002B010000}"/>
    <cellStyle name="Note 9" xfId="159" xr:uid="{00000000-0005-0000-0000-00002C010000}"/>
    <cellStyle name="Note 9 2" xfId="297" xr:uid="{00000000-0005-0000-0000-00002D010000}"/>
    <cellStyle name="Output" xfId="20" builtinId="21" customBuiltin="1"/>
    <cellStyle name="Percent 2" xfId="5" xr:uid="{00000000-0005-0000-0000-00002F010000}"/>
    <cellStyle name="Percent 3" xfId="6" xr:uid="{00000000-0005-0000-0000-000030010000}"/>
    <cellStyle name="Percent 4" xfId="10" xr:uid="{00000000-0005-0000-0000-000031010000}"/>
    <cellStyle name="Percent 5" xfId="209" xr:uid="{00000000-0005-0000-0000-000032010000}"/>
    <cellStyle name="Title" xfId="11" builtinId="15" customBuiltin="1"/>
    <cellStyle name="Total" xfId="26" builtinId="25" customBuiltin="1"/>
    <cellStyle name="Warning Text" xfId="24" builtinId="11" customBuiltin="1"/>
  </cellStyles>
  <dxfs count="0"/>
  <tableStyles count="0" defaultTableStyle="TableStyleMedium2" defaultPivotStyle="PivotStyleLight16"/>
  <colors>
    <mruColors>
      <color rgb="FFCC00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79646"/>
            </a:solidFill>
            <a:ln>
              <a:noFill/>
              <a:round/>
            </a:ln>
            <a:effectLst/>
            <a:extLst>
              <a:ext uri="{91240B29-F687-4F45-9708-019B960494DF}">
                <a14:hiddenLine xmlns:a14="http://schemas.microsoft.com/office/drawing/2010/main">
                  <a:noFill/>
                  <a:round/>
                </a14:hiddenLine>
              </a:ext>
            </a:extLst>
          </c:spPr>
          <c:invertIfNegative val="0"/>
          <c:dLbls>
            <c:spPr>
              <a:noFill/>
              <a:ln>
                <a:noFill/>
              </a:ln>
              <a:effectLst/>
            </c:spPr>
            <c:txPr>
              <a:bodyPr/>
              <a:lstStyle/>
              <a:p>
                <a:pPr>
                  <a:defRPr sz="800">
                    <a:solidFill>
                      <a:schemeClr val="tx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'Figure 1'!$A$2:$A$3</c:f>
              <c:strCache>
                <c:ptCount val="2"/>
                <c:pt idx="0">
                  <c:v>22-30</c:v>
                </c:pt>
                <c:pt idx="1">
                  <c:v>30-50</c:v>
                </c:pt>
              </c:strCache>
            </c:strRef>
          </c:cat>
          <c:val>
            <c:numRef>
              <c:f>'Figure 1'!$B$2:$B$3</c:f>
              <c:numCache>
                <c:formatCode>0.0%</c:formatCode>
                <c:ptCount val="2"/>
                <c:pt idx="0">
                  <c:v>0.33333333300000001</c:v>
                </c:pt>
                <c:pt idx="1">
                  <c:v>0.66666666699999999</c:v>
                </c:pt>
              </c:numCache>
            </c:numRef>
          </c:val>
          <c:extLst>
            <c:ext xmlns:c16="http://schemas.microsoft.com/office/drawing/2014/chart" uri="{C3380CC4-5D6E-409C-BE32-E72D297353CC}">
              <c16:uniqueId val="{00000000-42FD-4782-A503-DB4147D74489}"/>
            </c:ext>
          </c:extLst>
        </c:ser>
        <c:dLbls>
          <c:dLblPos val="outEnd"/>
          <c:showLegendKey val="0"/>
          <c:showVal val="1"/>
          <c:showCatName val="0"/>
          <c:showSerName val="0"/>
          <c:showPercent val="0"/>
          <c:showBubbleSize val="0"/>
        </c:dLbls>
        <c:gapWidth val="150"/>
        <c:axId val="120623872"/>
        <c:axId val="121052160"/>
      </c:barChart>
      <c:catAx>
        <c:axId val="120623872"/>
        <c:scaling>
          <c:orientation val="minMax"/>
        </c:scaling>
        <c:delete val="0"/>
        <c:axPos val="l"/>
        <c:title>
          <c:tx>
            <c:rich>
              <a:bodyPr rot="0" vert="horz"/>
              <a:lstStyle/>
              <a:p>
                <a:pPr>
                  <a:defRPr/>
                </a:pPr>
                <a:r>
                  <a:rPr lang="en-US"/>
                  <a:t>Age</a:t>
                </a:r>
              </a:p>
            </c:rich>
          </c:tx>
          <c:overlay val="0"/>
        </c:title>
        <c:numFmt formatCode="General" sourceLinked="1"/>
        <c:majorTickMark val="out"/>
        <c:minorTickMark val="none"/>
        <c:tickLblPos val="nextTo"/>
        <c:txPr>
          <a:bodyPr/>
          <a:lstStyle/>
          <a:p>
            <a:pPr>
              <a:defRPr sz="800">
                <a:solidFill>
                  <a:srgbClr val="FFFFFF"/>
                </a:solidFill>
              </a:defRPr>
            </a:pPr>
            <a:endParaRPr lang="en-US"/>
          </a:p>
        </c:txPr>
        <c:crossAx val="121052160"/>
        <c:crosses val="autoZero"/>
        <c:auto val="0"/>
        <c:lblAlgn val="ctr"/>
        <c:lblOffset val="100"/>
        <c:noMultiLvlLbl val="0"/>
      </c:catAx>
      <c:valAx>
        <c:axId val="121052160"/>
        <c:scaling>
          <c:orientation val="minMax"/>
        </c:scaling>
        <c:delete val="0"/>
        <c:axPos val="b"/>
        <c:numFmt formatCode="0%" sourceLinked="0"/>
        <c:majorTickMark val="out"/>
        <c:minorTickMark val="none"/>
        <c:tickLblPos val="nextTo"/>
        <c:txPr>
          <a:bodyPr/>
          <a:lstStyle/>
          <a:p>
            <a:pPr>
              <a:defRPr sz="800">
                <a:solidFill>
                  <a:srgbClr val="FFFFFF"/>
                </a:solidFill>
              </a:defRPr>
            </a:pPr>
            <a:endParaRPr lang="en-US"/>
          </a:p>
        </c:txPr>
        <c:crossAx val="120623872"/>
        <c:crosses val="autoZero"/>
        <c:crossBetween val="between"/>
      </c:valAx>
    </c:plotArea>
    <c:plotVisOnly val="1"/>
    <c:dispBlanksAs val="gap"/>
    <c:showDLblsOverMax val="0"/>
  </c:chart>
  <c:spPr>
    <a:solidFill>
      <a:schemeClr val="tx2">
        <a:lumMod val="100000"/>
      </a:schemeClr>
    </a:solidFill>
    <a:ln>
      <a:noFill/>
    </a:ln>
  </c:spPr>
  <c:txPr>
    <a:bodyPr/>
    <a:lstStyle/>
    <a:p>
      <a:pPr>
        <a:defRPr b="1">
          <a:solidFill>
            <a:schemeClr val="bg1"/>
          </a:solidFill>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79646"/>
            </a:solidFill>
            <a:ln>
              <a:noFill/>
              <a:round/>
            </a:ln>
            <a:effectLst/>
            <a:extLst>
              <a:ext uri="{91240B29-F687-4F45-9708-019B960494DF}">
                <a14:hiddenLine xmlns:a14="http://schemas.microsoft.com/office/drawing/2010/main">
                  <a:noFill/>
                  <a:round/>
                </a14:hiddenLine>
              </a:ext>
            </a:extLst>
          </c:spPr>
          <c:invertIfNegative val="0"/>
          <c:dLbls>
            <c:spPr>
              <a:noFill/>
              <a:ln>
                <a:noFill/>
              </a:ln>
              <a:effectLst/>
            </c:spPr>
            <c:txPr>
              <a:bodyPr/>
              <a:lstStyle/>
              <a:p>
                <a:pPr>
                  <a:defRPr sz="800">
                    <a:solidFill>
                      <a:schemeClr val="tx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'Figure 2'!$A$2:$A$3</c:f>
              <c:strCache>
                <c:ptCount val="2"/>
                <c:pt idx="0">
                  <c:v>Male</c:v>
                </c:pt>
                <c:pt idx="1">
                  <c:v>Female</c:v>
                </c:pt>
              </c:strCache>
            </c:strRef>
          </c:cat>
          <c:val>
            <c:numRef>
              <c:f>'Figure 2'!$B$2:$B$3</c:f>
              <c:numCache>
                <c:formatCode>0.0%</c:formatCode>
                <c:ptCount val="2"/>
                <c:pt idx="0">
                  <c:v>0</c:v>
                </c:pt>
                <c:pt idx="1">
                  <c:v>1</c:v>
                </c:pt>
              </c:numCache>
            </c:numRef>
          </c:val>
          <c:extLst>
            <c:ext xmlns:c16="http://schemas.microsoft.com/office/drawing/2014/chart" uri="{C3380CC4-5D6E-409C-BE32-E72D297353CC}">
              <c16:uniqueId val="{00000000-62E5-40E9-A5F6-74DC23DF88AA}"/>
            </c:ext>
          </c:extLst>
        </c:ser>
        <c:dLbls>
          <c:dLblPos val="outEnd"/>
          <c:showLegendKey val="0"/>
          <c:showVal val="1"/>
          <c:showCatName val="0"/>
          <c:showSerName val="0"/>
          <c:showPercent val="0"/>
          <c:showBubbleSize val="0"/>
        </c:dLbls>
        <c:gapWidth val="150"/>
        <c:axId val="121054720"/>
        <c:axId val="122311040"/>
      </c:barChart>
      <c:catAx>
        <c:axId val="121054720"/>
        <c:scaling>
          <c:orientation val="minMax"/>
        </c:scaling>
        <c:delete val="0"/>
        <c:axPos val="l"/>
        <c:numFmt formatCode="General" sourceLinked="1"/>
        <c:majorTickMark val="out"/>
        <c:minorTickMark val="none"/>
        <c:tickLblPos val="nextTo"/>
        <c:txPr>
          <a:bodyPr/>
          <a:lstStyle/>
          <a:p>
            <a:pPr>
              <a:defRPr sz="800">
                <a:solidFill>
                  <a:srgbClr val="FFFFFF"/>
                </a:solidFill>
              </a:defRPr>
            </a:pPr>
            <a:endParaRPr lang="en-US"/>
          </a:p>
        </c:txPr>
        <c:crossAx val="122311040"/>
        <c:crosses val="autoZero"/>
        <c:auto val="0"/>
        <c:lblAlgn val="ctr"/>
        <c:lblOffset val="100"/>
        <c:noMultiLvlLbl val="0"/>
      </c:catAx>
      <c:valAx>
        <c:axId val="122311040"/>
        <c:scaling>
          <c:orientation val="minMax"/>
        </c:scaling>
        <c:delete val="0"/>
        <c:axPos val="b"/>
        <c:numFmt formatCode="0%" sourceLinked="0"/>
        <c:majorTickMark val="out"/>
        <c:minorTickMark val="none"/>
        <c:tickLblPos val="nextTo"/>
        <c:txPr>
          <a:bodyPr/>
          <a:lstStyle/>
          <a:p>
            <a:pPr>
              <a:defRPr sz="800">
                <a:solidFill>
                  <a:srgbClr val="FFFFFF"/>
                </a:solidFill>
              </a:defRPr>
            </a:pPr>
            <a:endParaRPr lang="en-US"/>
          </a:p>
        </c:txPr>
        <c:crossAx val="121054720"/>
        <c:crosses val="autoZero"/>
        <c:crossBetween val="between"/>
      </c:valAx>
    </c:plotArea>
    <c:plotVisOnly val="1"/>
    <c:dispBlanksAs val="gap"/>
    <c:showDLblsOverMax val="0"/>
  </c:chart>
  <c:spPr>
    <a:solidFill>
      <a:schemeClr val="tx2">
        <a:lumMod val="100000"/>
      </a:schemeClr>
    </a:solidFill>
  </c:spPr>
  <c:txPr>
    <a:bodyPr/>
    <a:lstStyle/>
    <a:p>
      <a:pPr>
        <a:defRPr b="1">
          <a:solidFill>
            <a:schemeClr val="bg1"/>
          </a:solidFill>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6</xdr:col>
      <xdr:colOff>600075</xdr:colOff>
      <xdr:row>2</xdr:row>
      <xdr:rowOff>9525</xdr:rowOff>
    </xdr:from>
    <xdr:to>
      <xdr:col>14</xdr:col>
      <xdr:colOff>400050</xdr:colOff>
      <xdr:row>20</xdr:row>
      <xdr:rowOff>9524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504825</xdr:colOff>
      <xdr:row>3</xdr:row>
      <xdr:rowOff>123825</xdr:rowOff>
    </xdr:from>
    <xdr:to>
      <xdr:col>15</xdr:col>
      <xdr:colOff>304800</xdr:colOff>
      <xdr:row>21</xdr:row>
      <xdr:rowOff>152399</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Report%20Writer%20Beta%201.1\RW%20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Project\PERM\4808.04\Statistical%20Calculations\Reporting%20and%20Estimation\FY2015\Random%20Tasks\Rebecca%20Folder\MCCM%20Report%20Writer%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Parameters"/>
      <sheetName val="FigureDataImport"/>
      <sheetName val="Report Numbers"/>
      <sheetName val="Report Loop List"/>
      <sheetName val="ChartRanges"/>
      <sheetName val="Table 1"/>
      <sheetName val="Figure 1"/>
      <sheetName val="Figure 2"/>
      <sheetName val="Bullet 1"/>
      <sheetName val="Header and Footer"/>
      <sheetName val="Header"/>
      <sheetName val="SmartSections"/>
      <sheetName val="Summary Sheet"/>
      <sheetName val="D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A</v>
          </cell>
          <cell r="B2">
            <v>30</v>
          </cell>
          <cell r="C2">
            <v>17</v>
          </cell>
          <cell r="D2">
            <v>13</v>
          </cell>
        </row>
        <row r="3">
          <cell r="A3" t="str">
            <v>B</v>
          </cell>
          <cell r="B3">
            <v>3</v>
          </cell>
          <cell r="C3">
            <v>0</v>
          </cell>
          <cell r="D3">
            <v>3</v>
          </cell>
        </row>
      </sheetData>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Parameters"/>
      <sheetName val="FigureDataImport"/>
      <sheetName val="Report Numbers"/>
      <sheetName val="Report Loop List"/>
      <sheetName val="ChartRanges"/>
      <sheetName val="Totals"/>
      <sheetName val="Mult_Diag"/>
      <sheetName val="Age_Range"/>
      <sheetName val="Enroll"/>
      <sheetName val="Enroll (2)"/>
      <sheetName val="Discharge"/>
      <sheetName val="Age"/>
      <sheetName val="Gender"/>
      <sheetName val="Race"/>
      <sheetName val="Race_sorted"/>
      <sheetName val="Diagnosis"/>
      <sheetName val="Diagnosis_Sorted"/>
      <sheetName val="Func_status"/>
      <sheetName val="Dual_Elig"/>
      <sheetName val="P_Staff"/>
      <sheetName val="V_Staff"/>
      <sheetName val="V_staff_sorted"/>
      <sheetName val="P_Service"/>
      <sheetName val="V_Service"/>
      <sheetName val="V_service_sorted"/>
      <sheetName val="V_Location"/>
      <sheetName val="V_Location_sorted"/>
      <sheetName val="P_Delivery"/>
      <sheetName val="V_Delivery"/>
      <sheetName val="V_Delivery_sorted"/>
      <sheetName val="P_Treat_Admit"/>
      <sheetName val="P_Treat_Mod"/>
      <sheetName val="P_Treat_Follow"/>
      <sheetName val="V_Treat_Follow"/>
      <sheetName val="P_Adv_Care"/>
      <sheetName val="P_Adv_Care_Admit"/>
      <sheetName val="P_Spiritual"/>
      <sheetName val="P_Spirit_Admit"/>
      <sheetName val="V_IP_Transmit"/>
      <sheetName val="V_Med_Rec_Change"/>
      <sheetName val="P_Med_Rec_Admit"/>
      <sheetName val="V_Med_Rec_Post_IP"/>
      <sheetName val="V_Pain_Assess"/>
      <sheetName val="P_Pain_Admit"/>
      <sheetName val="V_Pain_Comf"/>
      <sheetName val="P_Bowel_Init"/>
      <sheetName val="V_Bowel_Init"/>
      <sheetName val="P_Bowel_Mod"/>
      <sheetName val="V_Bowel_Mod"/>
      <sheetName val="V_Dysp_Treat"/>
      <sheetName val="P_Dysp_Admit"/>
      <sheetName val="V_Dep_Follow"/>
      <sheetName val="P_Dep_Admit"/>
      <sheetName val="V_Dep_Reassess"/>
      <sheetName val="Hosp_Vis"/>
      <sheetName val="P_Hosp_MCCM"/>
      <sheetName val="V_Hosp_MCCM"/>
      <sheetName val="ED_Vis"/>
      <sheetName val="HH_Vis"/>
      <sheetName val="IP_Rehab_Vis"/>
      <sheetName val="SNF_Vis"/>
      <sheetName val="Actively_Enrolled"/>
      <sheetName val="S_A_log"/>
      <sheetName val="Table 1"/>
      <sheetName val="FFS MR TopX"/>
      <sheetName val="Sheet1"/>
      <sheetName val="index_test"/>
      <sheetName val="Bullet 1"/>
      <sheetName val="Header and Footer"/>
      <sheetName val="SmartSections"/>
      <sheetName val="Summary Sheet"/>
      <sheetName val="Add Docx"/>
      <sheetName val="D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ow r="1">
          <cell r="A1" t="str">
            <v>Section</v>
          </cell>
          <cell r="B1" t="str">
            <v>Include</v>
          </cell>
        </row>
        <row r="2">
          <cell r="A2">
            <v>1</v>
          </cell>
          <cell r="B2">
            <v>1</v>
          </cell>
        </row>
        <row r="3">
          <cell r="A3">
            <v>2</v>
          </cell>
          <cell r="B3">
            <v>0</v>
          </cell>
        </row>
        <row r="4">
          <cell r="A4">
            <v>3</v>
          </cell>
          <cell r="B4">
            <v>1</v>
          </cell>
        </row>
        <row r="5">
          <cell r="A5">
            <v>4</v>
          </cell>
          <cell r="B5">
            <v>1</v>
          </cell>
        </row>
        <row r="6">
          <cell r="A6">
            <v>5</v>
          </cell>
          <cell r="B6">
            <v>0</v>
          </cell>
        </row>
        <row r="7">
          <cell r="A7">
            <v>6</v>
          </cell>
          <cell r="B7">
            <v>0</v>
          </cell>
        </row>
        <row r="8">
          <cell r="A8">
            <v>7</v>
          </cell>
          <cell r="B8">
            <v>1</v>
          </cell>
        </row>
        <row r="9">
          <cell r="A9">
            <v>8</v>
          </cell>
          <cell r="B9">
            <v>1</v>
          </cell>
        </row>
        <row r="10">
          <cell r="A10">
            <v>9</v>
          </cell>
          <cell r="B10">
            <v>0</v>
          </cell>
        </row>
        <row r="11">
          <cell r="A11">
            <v>10</v>
          </cell>
          <cell r="B11">
            <v>0</v>
          </cell>
        </row>
        <row r="12">
          <cell r="A12">
            <v>11</v>
          </cell>
          <cell r="B12">
            <v>0</v>
          </cell>
        </row>
        <row r="69">
          <cell r="A69">
            <v>0</v>
          </cell>
          <cell r="B69">
            <v>0</v>
          </cell>
        </row>
        <row r="104">
          <cell r="A104">
            <v>99</v>
          </cell>
          <cell r="B104">
            <v>1</v>
          </cell>
        </row>
      </sheetData>
      <sheetData sheetId="70"/>
      <sheetData sheetId="71"/>
      <sheetData sheetId="7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C20"/>
  <sheetViews>
    <sheetView topLeftCell="A2" workbookViewId="0">
      <selection activeCell="A21" sqref="A21:XFD21"/>
    </sheetView>
  </sheetViews>
  <sheetFormatPr defaultRowHeight="12.3" x14ac:dyDescent="0.4"/>
  <cols>
    <col min="1" max="1" width="8.88671875" style="119"/>
    <col min="2" max="2" width="18.44140625" style="119" customWidth="1"/>
    <col min="3" max="16384" width="8.88671875" style="119"/>
  </cols>
  <sheetData>
    <row r="2" spans="2:3" ht="22.5" x14ac:dyDescent="0.75">
      <c r="B2" s="118" t="s">
        <v>163</v>
      </c>
    </row>
    <row r="4" spans="2:3" x14ac:dyDescent="0.4">
      <c r="B4" s="120" t="s">
        <v>164</v>
      </c>
    </row>
    <row r="5" spans="2:3" x14ac:dyDescent="0.4">
      <c r="B5" s="120" t="s">
        <v>165</v>
      </c>
    </row>
    <row r="6" spans="2:3" x14ac:dyDescent="0.4">
      <c r="B6" s="120" t="s">
        <v>166</v>
      </c>
    </row>
    <row r="8" spans="2:3" x14ac:dyDescent="0.4">
      <c r="B8" s="121" t="s">
        <v>167</v>
      </c>
    </row>
    <row r="10" spans="2:3" x14ac:dyDescent="0.4">
      <c r="B10" s="122" t="s">
        <v>168</v>
      </c>
      <c r="C10" s="120" t="s">
        <v>176</v>
      </c>
    </row>
    <row r="11" spans="2:3" x14ac:dyDescent="0.4">
      <c r="B11" s="122" t="s">
        <v>169</v>
      </c>
      <c r="C11" s="120" t="s">
        <v>177</v>
      </c>
    </row>
    <row r="12" spans="2:3" x14ac:dyDescent="0.4">
      <c r="B12" s="122" t="s">
        <v>170</v>
      </c>
      <c r="C12" s="120" t="s">
        <v>186</v>
      </c>
    </row>
    <row r="13" spans="2:3" x14ac:dyDescent="0.4">
      <c r="B13" s="122" t="s">
        <v>171</v>
      </c>
      <c r="C13" s="120" t="s">
        <v>178</v>
      </c>
    </row>
    <row r="14" spans="2:3" x14ac:dyDescent="0.4">
      <c r="B14" s="122" t="s">
        <v>172</v>
      </c>
      <c r="C14" s="120" t="s">
        <v>179</v>
      </c>
    </row>
    <row r="15" spans="2:3" x14ac:dyDescent="0.4">
      <c r="B15" s="122" t="s">
        <v>103</v>
      </c>
      <c r="C15" s="120" t="s">
        <v>180</v>
      </c>
    </row>
    <row r="16" spans="2:3" x14ac:dyDescent="0.4">
      <c r="B16" s="122" t="s">
        <v>46</v>
      </c>
      <c r="C16" s="120" t="s">
        <v>181</v>
      </c>
    </row>
    <row r="17" spans="2:3" x14ac:dyDescent="0.4">
      <c r="B17" s="122" t="s">
        <v>144</v>
      </c>
      <c r="C17" s="120" t="s">
        <v>182</v>
      </c>
    </row>
    <row r="18" spans="2:3" x14ac:dyDescent="0.4">
      <c r="B18" s="122" t="s">
        <v>173</v>
      </c>
      <c r="C18" s="120" t="s">
        <v>183</v>
      </c>
    </row>
    <row r="19" spans="2:3" x14ac:dyDescent="0.4">
      <c r="B19" s="122" t="s">
        <v>174</v>
      </c>
      <c r="C19" s="120" t="s">
        <v>184</v>
      </c>
    </row>
    <row r="20" spans="2:3" x14ac:dyDescent="0.4">
      <c r="B20" s="122" t="s">
        <v>175</v>
      </c>
      <c r="C20" s="120" t="s">
        <v>185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6"/>
  <dimension ref="A1:P86"/>
  <sheetViews>
    <sheetView tabSelected="1" workbookViewId="0">
      <selection activeCell="A3" sqref="A3"/>
    </sheetView>
  </sheetViews>
  <sheetFormatPr defaultColWidth="9.1640625" defaultRowHeight="14.1" x14ac:dyDescent="0.5"/>
  <cols>
    <col min="1" max="1" width="37.27734375" style="7" customWidth="1"/>
    <col min="2" max="2" width="9.44140625" style="7" bestFit="1" customWidth="1"/>
    <col min="3" max="3" width="9.1640625" style="7"/>
    <col min="4" max="4" width="10.83203125" style="7" bestFit="1" customWidth="1"/>
    <col min="5" max="5" width="9.1640625" style="7"/>
    <col min="6" max="6" width="10" style="7" bestFit="1" customWidth="1"/>
    <col min="7" max="16384" width="9.1640625" style="7"/>
  </cols>
  <sheetData>
    <row r="1" spans="1:8" ht="15" x14ac:dyDescent="0.5">
      <c r="A1" s="159" t="s">
        <v>121</v>
      </c>
      <c r="B1" s="159"/>
      <c r="C1" s="159"/>
      <c r="D1" s="159"/>
      <c r="E1" s="159"/>
      <c r="F1" s="159"/>
      <c r="G1" s="159"/>
      <c r="H1" s="159"/>
    </row>
    <row r="2" spans="1:8" ht="15.3" x14ac:dyDescent="0.55000000000000004">
      <c r="A2" s="160" t="s">
        <v>243</v>
      </c>
      <c r="B2" s="160"/>
      <c r="C2" s="160"/>
      <c r="D2" s="160"/>
      <c r="E2" s="160"/>
      <c r="F2" s="160"/>
      <c r="G2" s="160"/>
      <c r="H2" s="160"/>
    </row>
    <row r="3" spans="1:8" ht="15.3" x14ac:dyDescent="0.55000000000000004">
      <c r="A3" s="70"/>
    </row>
    <row r="4" spans="1:8" ht="15" x14ac:dyDescent="0.5">
      <c r="A4" s="159" t="s">
        <v>44</v>
      </c>
      <c r="B4" s="159"/>
      <c r="C4" s="159"/>
      <c r="D4" s="159"/>
      <c r="E4" s="159"/>
      <c r="F4" s="159"/>
      <c r="G4" s="159"/>
      <c r="H4" s="159"/>
    </row>
    <row r="5" spans="1:8" ht="15.3" x14ac:dyDescent="0.55000000000000004">
      <c r="A5" s="160" t="s">
        <v>202</v>
      </c>
      <c r="B5" s="160"/>
      <c r="C5" s="160"/>
      <c r="D5" s="160"/>
      <c r="E5" s="160"/>
      <c r="F5" s="160"/>
      <c r="G5" s="160"/>
      <c r="H5" s="160"/>
    </row>
    <row r="7" spans="1:8" ht="15" x14ac:dyDescent="0.5">
      <c r="A7" s="159" t="s">
        <v>122</v>
      </c>
      <c r="B7" s="159"/>
      <c r="C7" s="159"/>
      <c r="D7" s="159"/>
      <c r="E7" s="159"/>
      <c r="F7" s="159"/>
      <c r="G7" s="159"/>
      <c r="H7" s="159"/>
    </row>
    <row r="8" spans="1:8" ht="15.3" x14ac:dyDescent="0.55000000000000004">
      <c r="A8" s="160" t="str">
        <f xml:space="preserve"> A2 &amp; "\Final Reports"</f>
        <v>C:\Users\brian\OneDrive\Documents\The Report Writer Package 02242020\The Report Writer Package 02242020\Report Writer Template\Final Reports</v>
      </c>
      <c r="B8" s="160"/>
      <c r="C8" s="160"/>
      <c r="D8" s="160"/>
      <c r="E8" s="160"/>
      <c r="F8" s="160"/>
      <c r="G8" s="160"/>
      <c r="H8" s="160"/>
    </row>
    <row r="9" spans="1:8" ht="15.3" x14ac:dyDescent="0.55000000000000004">
      <c r="A9" s="70"/>
    </row>
    <row r="10" spans="1:8" ht="15" x14ac:dyDescent="0.5">
      <c r="A10" s="159" t="s">
        <v>123</v>
      </c>
      <c r="B10" s="159"/>
      <c r="C10" s="159"/>
      <c r="D10" s="159"/>
      <c r="E10" s="159"/>
      <c r="F10" s="159"/>
      <c r="G10" s="159"/>
      <c r="H10" s="159"/>
    </row>
    <row r="11" spans="1:8" ht="15.3" x14ac:dyDescent="0.55000000000000004">
      <c r="A11" s="160" t="s">
        <v>19</v>
      </c>
      <c r="B11" s="160"/>
      <c r="C11" s="160"/>
      <c r="D11" s="160"/>
      <c r="E11" s="160"/>
      <c r="F11" s="160"/>
      <c r="G11" s="160"/>
      <c r="H11" s="160"/>
    </row>
    <row r="12" spans="1:8" ht="15.3" x14ac:dyDescent="0.55000000000000004">
      <c r="A12" s="70"/>
    </row>
    <row r="13" spans="1:8" ht="15" x14ac:dyDescent="0.5">
      <c r="A13" s="71" t="s">
        <v>127</v>
      </c>
    </row>
    <row r="14" spans="1:8" ht="15.3" x14ac:dyDescent="0.55000000000000004">
      <c r="A14" s="70"/>
    </row>
    <row r="15" spans="1:8" ht="15.3" x14ac:dyDescent="0.55000000000000004">
      <c r="A15" s="73" t="s">
        <v>124</v>
      </c>
      <c r="B15" s="72" t="s">
        <v>125</v>
      </c>
    </row>
    <row r="16" spans="1:8" ht="15.3" x14ac:dyDescent="0.55000000000000004">
      <c r="A16" s="70"/>
    </row>
    <row r="17" spans="1:4" x14ac:dyDescent="0.5">
      <c r="A17" s="72" t="s">
        <v>201</v>
      </c>
      <c r="B17" s="72" t="s">
        <v>125</v>
      </c>
    </row>
    <row r="19" spans="1:4" x14ac:dyDescent="0.5">
      <c r="A19" s="72" t="s">
        <v>196</v>
      </c>
      <c r="B19" s="72" t="s">
        <v>125</v>
      </c>
      <c r="C19" s="104"/>
    </row>
    <row r="21" spans="1:4" x14ac:dyDescent="0.5">
      <c r="A21" s="72" t="s">
        <v>132</v>
      </c>
      <c r="B21" s="72" t="s">
        <v>125</v>
      </c>
    </row>
    <row r="23" spans="1:4" x14ac:dyDescent="0.5">
      <c r="A23" s="72" t="s">
        <v>133</v>
      </c>
      <c r="B23" s="158" t="s">
        <v>134</v>
      </c>
      <c r="C23" s="158"/>
    </row>
    <row r="25" spans="1:4" x14ac:dyDescent="0.5">
      <c r="A25" s="72" t="s">
        <v>191</v>
      </c>
      <c r="B25" s="72" t="s">
        <v>126</v>
      </c>
    </row>
    <row r="27" spans="1:4" ht="14.25" customHeight="1" x14ac:dyDescent="0.5">
      <c r="A27" s="72" t="s">
        <v>159</v>
      </c>
      <c r="B27" s="155"/>
      <c r="C27" s="156"/>
      <c r="D27" s="157"/>
    </row>
    <row r="29" spans="1:4" x14ac:dyDescent="0.5">
      <c r="A29" s="147" t="s">
        <v>212</v>
      </c>
      <c r="B29" s="72" t="s">
        <v>125</v>
      </c>
    </row>
    <row r="31" spans="1:4" x14ac:dyDescent="0.5">
      <c r="A31" s="72" t="s">
        <v>213</v>
      </c>
      <c r="B31" s="72" t="s">
        <v>214</v>
      </c>
    </row>
    <row r="33" spans="1:2" x14ac:dyDescent="0.5">
      <c r="A33" s="72" t="s">
        <v>223</v>
      </c>
      <c r="B33" s="72" t="s">
        <v>125</v>
      </c>
    </row>
    <row r="35" spans="1:2" x14ac:dyDescent="0.5">
      <c r="A35" s="72" t="s">
        <v>226</v>
      </c>
      <c r="B35" s="72" t="s">
        <v>126</v>
      </c>
    </row>
    <row r="37" spans="1:2" x14ac:dyDescent="0.5">
      <c r="A37" s="72" t="s">
        <v>231</v>
      </c>
      <c r="B37" s="72" t="s">
        <v>125</v>
      </c>
    </row>
    <row r="76" spans="16:16" x14ac:dyDescent="0.5">
      <c r="P76" s="7" t="s">
        <v>125</v>
      </c>
    </row>
    <row r="77" spans="16:16" x14ac:dyDescent="0.5">
      <c r="P77" s="7" t="s">
        <v>126</v>
      </c>
    </row>
    <row r="79" spans="16:16" x14ac:dyDescent="0.5">
      <c r="P79" s="7" t="s">
        <v>134</v>
      </c>
    </row>
    <row r="80" spans="16:16" x14ac:dyDescent="0.5">
      <c r="P80" s="7" t="s">
        <v>135</v>
      </c>
    </row>
    <row r="81" spans="16:16" x14ac:dyDescent="0.5">
      <c r="P81" s="7" t="s">
        <v>136</v>
      </c>
    </row>
    <row r="85" spans="16:16" x14ac:dyDescent="0.5">
      <c r="P85" s="7" t="s">
        <v>192</v>
      </c>
    </row>
    <row r="86" spans="16:16" x14ac:dyDescent="0.5">
      <c r="P86" s="7" t="s">
        <v>193</v>
      </c>
    </row>
  </sheetData>
  <mergeCells count="10">
    <mergeCell ref="A1:H1"/>
    <mergeCell ref="A4:H4"/>
    <mergeCell ref="A5:H5"/>
    <mergeCell ref="A7:H7"/>
    <mergeCell ref="A8:H8"/>
    <mergeCell ref="B27:D27"/>
    <mergeCell ref="B23:C23"/>
    <mergeCell ref="A10:H10"/>
    <mergeCell ref="A11:H11"/>
    <mergeCell ref="A2:H2"/>
  </mergeCells>
  <dataValidations count="2">
    <dataValidation type="list" allowBlank="1" showInputMessage="1" showErrorMessage="1" sqref="B15 B21 B19 B17 B25 B29 B33 B35 B37" xr:uid="{00000000-0002-0000-0100-000000000000}">
      <formula1>$P$76:$P$77</formula1>
    </dataValidation>
    <dataValidation type="list" allowBlank="1" showInputMessage="1" showErrorMessage="1" sqref="B23" xr:uid="{00000000-0002-0000-0100-000001000000}">
      <formula1>$P$79:$P$81</formula1>
    </dataValidation>
  </dataValidations>
  <hyperlinks>
    <hyperlink ref="A29" location="'Massive Table Maker'!A1" display="Massive Table Maker" xr:uid="{08B3122F-5293-4714-9828-738262E1FEE2}"/>
  </hyperlink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36"/>
  <sheetViews>
    <sheetView topLeftCell="B1" zoomScaleNormal="100" workbookViewId="0">
      <selection activeCell="M18" sqref="M18"/>
    </sheetView>
  </sheetViews>
  <sheetFormatPr defaultColWidth="9.1640625" defaultRowHeight="14.1" x14ac:dyDescent="0.4"/>
  <cols>
    <col min="1" max="1" width="25.44140625" style="36" customWidth="1"/>
    <col min="2" max="4" width="9.1640625" style="36"/>
    <col min="5" max="6" width="16.44140625" style="36" bestFit="1" customWidth="1"/>
    <col min="7" max="7" width="12.44140625" style="36" customWidth="1"/>
    <col min="8" max="9" width="9.44140625" style="36" customWidth="1"/>
    <col min="10" max="10" width="24.44140625" style="36" customWidth="1"/>
    <col min="11" max="11" width="9.1640625" style="36"/>
    <col min="12" max="12" width="8.71875" style="36" bestFit="1" customWidth="1"/>
    <col min="13" max="16384" width="9.1640625" style="36"/>
  </cols>
  <sheetData>
    <row r="1" spans="1:12" ht="28.5" customHeight="1" x14ac:dyDescent="0.4">
      <c r="A1" s="71" t="s">
        <v>128</v>
      </c>
    </row>
    <row r="2" spans="1:12" ht="29.25" customHeight="1" x14ac:dyDescent="0.4">
      <c r="A2" s="161" t="str">
        <f>'Current Parameters'!A2 &amp; "\Results"</f>
        <v>C:\Users\brian\OneDrive\Documents\The Report Writer Package 02242020\The Report Writer Package 02242020\Report Writer Template\Results</v>
      </c>
      <c r="B2" s="161"/>
      <c r="C2" s="161"/>
      <c r="D2" s="161"/>
      <c r="E2" s="161"/>
      <c r="F2" s="161"/>
      <c r="G2" s="161"/>
    </row>
    <row r="3" spans="1:12" ht="41.4" x14ac:dyDescent="0.4">
      <c r="E3" s="37" t="s">
        <v>10</v>
      </c>
      <c r="F3" s="37" t="s">
        <v>11</v>
      </c>
      <c r="G3" s="37" t="s">
        <v>13</v>
      </c>
      <c r="H3" s="37" t="s">
        <v>14</v>
      </c>
      <c r="I3" s="37" t="s">
        <v>15</v>
      </c>
      <c r="J3" s="37" t="s">
        <v>12</v>
      </c>
      <c r="K3" s="37" t="s">
        <v>16</v>
      </c>
      <c r="L3" s="38" t="s">
        <v>84</v>
      </c>
    </row>
    <row r="4" spans="1:12" x14ac:dyDescent="0.4">
      <c r="A4" s="39"/>
      <c r="D4" s="36">
        <v>4</v>
      </c>
      <c r="E4" s="40" t="s">
        <v>103</v>
      </c>
      <c r="F4" s="40" t="s">
        <v>103</v>
      </c>
      <c r="G4" s="40" t="s">
        <v>48</v>
      </c>
      <c r="H4" s="40">
        <v>10</v>
      </c>
      <c r="I4" s="40">
        <v>3</v>
      </c>
      <c r="J4" s="40" t="str">
        <f>CONCATENATE("Comp",'Current Parameters'!A$11,"_Table1.csv")</f>
        <v>CompB_Table1.csv</v>
      </c>
      <c r="K4" s="41" t="s">
        <v>17</v>
      </c>
      <c r="L4" s="42"/>
    </row>
    <row r="5" spans="1:12" x14ac:dyDescent="0.4">
      <c r="A5" s="43"/>
      <c r="D5" s="36">
        <v>5</v>
      </c>
      <c r="E5" s="44" t="s">
        <v>46</v>
      </c>
      <c r="F5" s="44" t="s">
        <v>46</v>
      </c>
      <c r="G5" s="44" t="s">
        <v>48</v>
      </c>
      <c r="H5" s="44">
        <v>10</v>
      </c>
      <c r="I5" s="44">
        <v>3</v>
      </c>
      <c r="J5" s="40" t="str">
        <f>CONCATENATE("Comp",'Current Parameters'!A$11,"_Figure1.csv")</f>
        <v>CompB_Figure1.csv</v>
      </c>
      <c r="K5" s="42" t="s">
        <v>17</v>
      </c>
      <c r="L5" s="42"/>
    </row>
    <row r="6" spans="1:12" x14ac:dyDescent="0.4">
      <c r="D6" s="36">
        <v>6</v>
      </c>
      <c r="E6" s="44" t="s">
        <v>47</v>
      </c>
      <c r="F6" s="44" t="s">
        <v>47</v>
      </c>
      <c r="G6" s="44" t="s">
        <v>48</v>
      </c>
      <c r="H6" s="44">
        <v>10</v>
      </c>
      <c r="I6" s="44">
        <v>3</v>
      </c>
      <c r="J6" s="40" t="str">
        <f>CONCATENATE("Comp",'Current Parameters'!A$11,"_Figure2.csv")</f>
        <v>CompB_Figure2.csv</v>
      </c>
      <c r="K6" s="42" t="s">
        <v>17</v>
      </c>
      <c r="L6" s="42"/>
    </row>
    <row r="7" spans="1:12" x14ac:dyDescent="0.4">
      <c r="D7" s="36">
        <v>7</v>
      </c>
      <c r="E7" s="44" t="s">
        <v>144</v>
      </c>
      <c r="F7" s="44" t="s">
        <v>144</v>
      </c>
      <c r="G7" s="44" t="s">
        <v>48</v>
      </c>
      <c r="H7" s="44">
        <v>10</v>
      </c>
      <c r="I7" s="44">
        <v>3</v>
      </c>
      <c r="J7" s="40" t="str">
        <f>CONCATENATE("Comp",'Current Parameters'!A$11,"_Figure2.csv")</f>
        <v>CompB_Figure2.csv</v>
      </c>
      <c r="K7" s="42" t="s">
        <v>17</v>
      </c>
      <c r="L7" s="42"/>
    </row>
    <row r="8" spans="1:12" x14ac:dyDescent="0.4">
      <c r="D8" s="36">
        <v>8</v>
      </c>
      <c r="E8" s="44"/>
      <c r="F8" s="44"/>
      <c r="G8" s="44"/>
      <c r="H8" s="44"/>
      <c r="I8" s="44"/>
      <c r="J8" s="44"/>
      <c r="K8" s="42"/>
      <c r="L8" s="42"/>
    </row>
    <row r="9" spans="1:12" x14ac:dyDescent="0.4">
      <c r="D9" s="36">
        <v>9</v>
      </c>
      <c r="E9" s="44"/>
      <c r="F9" s="44"/>
      <c r="G9" s="44"/>
      <c r="H9" s="44"/>
      <c r="I9" s="44"/>
      <c r="J9" s="44"/>
      <c r="K9" s="42"/>
      <c r="L9" s="42"/>
    </row>
    <row r="10" spans="1:12" x14ac:dyDescent="0.4">
      <c r="D10" s="36">
        <v>10</v>
      </c>
      <c r="E10" s="44"/>
      <c r="F10" s="44"/>
      <c r="G10" s="44"/>
      <c r="H10" s="44"/>
      <c r="I10" s="44"/>
      <c r="J10" s="44"/>
      <c r="K10" s="42"/>
      <c r="L10" s="42"/>
    </row>
    <row r="11" spans="1:12" x14ac:dyDescent="0.4">
      <c r="D11" s="36">
        <v>11</v>
      </c>
      <c r="E11" s="44"/>
      <c r="F11" s="44"/>
      <c r="G11" s="44"/>
      <c r="H11" s="44"/>
      <c r="I11" s="44"/>
      <c r="J11" s="44"/>
      <c r="K11" s="44"/>
      <c r="L11" s="42"/>
    </row>
    <row r="12" spans="1:12" x14ac:dyDescent="0.4">
      <c r="D12" s="36">
        <v>12</v>
      </c>
      <c r="E12" s="44"/>
      <c r="F12" s="44"/>
      <c r="G12" s="44"/>
      <c r="H12" s="44"/>
      <c r="I12" s="44"/>
      <c r="J12" s="44"/>
      <c r="K12" s="44"/>
      <c r="L12" s="42"/>
    </row>
    <row r="13" spans="1:12" x14ac:dyDescent="0.4">
      <c r="D13" s="36">
        <v>13</v>
      </c>
      <c r="E13" s="44"/>
      <c r="F13" s="44"/>
      <c r="G13" s="44"/>
      <c r="H13" s="44"/>
      <c r="I13" s="44"/>
      <c r="J13" s="44"/>
      <c r="K13" s="44"/>
      <c r="L13" s="42"/>
    </row>
    <row r="14" spans="1:12" x14ac:dyDescent="0.4">
      <c r="D14" s="36">
        <v>14</v>
      </c>
      <c r="E14" s="44"/>
      <c r="F14" s="44"/>
      <c r="G14" s="44"/>
      <c r="H14" s="44"/>
      <c r="I14" s="44"/>
      <c r="J14" s="44"/>
      <c r="K14" s="44"/>
      <c r="L14" s="42"/>
    </row>
    <row r="15" spans="1:12" x14ac:dyDescent="0.4">
      <c r="D15" s="36">
        <v>15</v>
      </c>
      <c r="E15" s="44"/>
      <c r="F15" s="44"/>
      <c r="G15" s="44"/>
      <c r="H15" s="44"/>
      <c r="I15" s="44"/>
      <c r="J15" s="44"/>
      <c r="K15" s="44"/>
      <c r="L15" s="42"/>
    </row>
    <row r="16" spans="1:12" x14ac:dyDescent="0.4">
      <c r="D16" s="36">
        <v>16</v>
      </c>
      <c r="E16" s="44"/>
      <c r="F16" s="44"/>
      <c r="G16" s="44"/>
      <c r="H16" s="44"/>
      <c r="I16" s="44"/>
      <c r="J16" s="44"/>
      <c r="K16" s="44"/>
      <c r="L16" s="42"/>
    </row>
    <row r="17" spans="4:12" x14ac:dyDescent="0.4">
      <c r="D17" s="36">
        <v>17</v>
      </c>
      <c r="E17" s="44"/>
      <c r="F17" s="44"/>
      <c r="G17" s="44"/>
      <c r="H17" s="44"/>
      <c r="I17" s="44"/>
      <c r="J17" s="44"/>
      <c r="K17" s="44"/>
      <c r="L17" s="42"/>
    </row>
    <row r="18" spans="4:12" x14ac:dyDescent="0.4">
      <c r="D18" s="36">
        <v>18</v>
      </c>
      <c r="E18" s="44"/>
      <c r="F18" s="44"/>
      <c r="G18" s="44"/>
      <c r="H18" s="44"/>
      <c r="I18" s="44"/>
      <c r="J18" s="44"/>
      <c r="K18" s="44"/>
      <c r="L18" s="42"/>
    </row>
    <row r="19" spans="4:12" x14ac:dyDescent="0.4">
      <c r="D19" s="36">
        <v>19</v>
      </c>
      <c r="E19" s="44"/>
      <c r="F19" s="44"/>
      <c r="G19" s="44"/>
      <c r="H19" s="44"/>
      <c r="I19" s="44"/>
      <c r="J19" s="44"/>
      <c r="K19" s="44"/>
      <c r="L19" s="42"/>
    </row>
    <row r="20" spans="4:12" x14ac:dyDescent="0.4">
      <c r="D20" s="36">
        <v>20</v>
      </c>
      <c r="E20" s="44"/>
      <c r="F20" s="44"/>
      <c r="G20" s="44"/>
      <c r="H20" s="44"/>
      <c r="I20" s="44"/>
      <c r="J20" s="44"/>
      <c r="K20" s="44"/>
      <c r="L20" s="42"/>
    </row>
    <row r="21" spans="4:12" x14ac:dyDescent="0.4">
      <c r="D21" s="36">
        <v>21</v>
      </c>
      <c r="E21" s="44"/>
      <c r="F21" s="44"/>
      <c r="G21" s="44"/>
      <c r="H21" s="44"/>
      <c r="I21" s="44"/>
      <c r="J21" s="44"/>
      <c r="K21" s="44"/>
      <c r="L21" s="42"/>
    </row>
    <row r="22" spans="4:12" x14ac:dyDescent="0.4">
      <c r="D22" s="36">
        <v>22</v>
      </c>
      <c r="E22" s="44"/>
      <c r="F22" s="44"/>
      <c r="G22" s="44"/>
      <c r="H22" s="44"/>
      <c r="I22" s="44"/>
      <c r="J22" s="44"/>
      <c r="K22" s="44"/>
      <c r="L22" s="42"/>
    </row>
    <row r="23" spans="4:12" x14ac:dyDescent="0.4">
      <c r="D23" s="36">
        <v>23</v>
      </c>
      <c r="E23" s="44"/>
      <c r="F23" s="44"/>
      <c r="G23" s="44"/>
      <c r="H23" s="44"/>
      <c r="I23" s="44"/>
      <c r="J23" s="44"/>
      <c r="K23" s="44"/>
      <c r="L23" s="42"/>
    </row>
    <row r="24" spans="4:12" x14ac:dyDescent="0.4">
      <c r="D24" s="36">
        <v>24</v>
      </c>
      <c r="E24" s="44"/>
      <c r="F24" s="44"/>
      <c r="G24" s="44"/>
      <c r="H24" s="44"/>
      <c r="I24" s="44"/>
      <c r="J24" s="44"/>
      <c r="K24" s="44"/>
      <c r="L24" s="42"/>
    </row>
    <row r="25" spans="4:12" x14ac:dyDescent="0.4">
      <c r="D25" s="36">
        <v>25</v>
      </c>
      <c r="E25" s="44"/>
      <c r="F25" s="44"/>
      <c r="G25" s="44"/>
      <c r="H25" s="44"/>
      <c r="I25" s="44"/>
      <c r="J25" s="44"/>
      <c r="K25" s="44"/>
      <c r="L25" s="42"/>
    </row>
    <row r="26" spans="4:12" x14ac:dyDescent="0.4">
      <c r="D26" s="36">
        <v>26</v>
      </c>
      <c r="E26" s="44"/>
      <c r="F26" s="44"/>
      <c r="G26" s="44"/>
      <c r="H26" s="44"/>
      <c r="I26" s="44"/>
      <c r="J26" s="44"/>
      <c r="K26" s="44"/>
      <c r="L26" s="42"/>
    </row>
    <row r="27" spans="4:12" x14ac:dyDescent="0.4">
      <c r="D27" s="36">
        <v>27</v>
      </c>
      <c r="E27" s="44"/>
      <c r="F27" s="44"/>
      <c r="G27" s="44"/>
      <c r="H27" s="44"/>
      <c r="I27" s="44"/>
      <c r="J27" s="44"/>
      <c r="K27" s="44"/>
      <c r="L27" s="42"/>
    </row>
    <row r="28" spans="4:12" x14ac:dyDescent="0.4">
      <c r="D28" s="36">
        <v>28</v>
      </c>
      <c r="E28" s="44"/>
      <c r="F28" s="44"/>
      <c r="G28" s="44"/>
      <c r="H28" s="44"/>
      <c r="I28" s="44"/>
      <c r="J28" s="44"/>
      <c r="K28" s="44"/>
      <c r="L28" s="42"/>
    </row>
    <row r="29" spans="4:12" x14ac:dyDescent="0.4">
      <c r="D29" s="36">
        <v>29</v>
      </c>
      <c r="E29" s="44"/>
      <c r="F29" s="44"/>
      <c r="G29" s="44"/>
      <c r="H29" s="44"/>
      <c r="I29" s="44"/>
      <c r="J29" s="44"/>
      <c r="K29" s="44"/>
      <c r="L29" s="42"/>
    </row>
    <row r="30" spans="4:12" x14ac:dyDescent="0.4">
      <c r="D30" s="36">
        <v>30</v>
      </c>
      <c r="E30" s="42"/>
      <c r="F30" s="42"/>
      <c r="G30" s="42"/>
      <c r="H30" s="42"/>
      <c r="I30" s="42"/>
      <c r="J30" s="42"/>
      <c r="K30" s="42"/>
      <c r="L30" s="42"/>
    </row>
    <row r="31" spans="4:12" x14ac:dyDescent="0.4">
      <c r="D31" s="36">
        <v>31</v>
      </c>
      <c r="E31" s="42"/>
      <c r="F31" s="42"/>
      <c r="G31" s="42"/>
      <c r="H31" s="42"/>
      <c r="I31" s="42"/>
      <c r="J31" s="42"/>
      <c r="K31" s="42"/>
      <c r="L31" s="42"/>
    </row>
    <row r="32" spans="4:12" x14ac:dyDescent="0.4">
      <c r="D32" s="36">
        <v>32</v>
      </c>
      <c r="E32" s="42"/>
      <c r="F32" s="42"/>
      <c r="G32" s="42"/>
      <c r="H32" s="42"/>
      <c r="I32" s="42"/>
      <c r="J32" s="42"/>
      <c r="K32" s="42"/>
      <c r="L32" s="42"/>
    </row>
    <row r="33" spans="4:12" x14ac:dyDescent="0.4">
      <c r="D33" s="36">
        <v>33</v>
      </c>
      <c r="E33" s="42"/>
      <c r="F33" s="42"/>
      <c r="G33" s="42"/>
      <c r="H33" s="42"/>
      <c r="I33" s="42"/>
      <c r="J33" s="42"/>
      <c r="K33" s="42"/>
      <c r="L33" s="42"/>
    </row>
    <row r="34" spans="4:12" x14ac:dyDescent="0.4">
      <c r="D34" s="36">
        <v>34</v>
      </c>
      <c r="E34" s="42"/>
      <c r="F34" s="42"/>
      <c r="G34" s="42"/>
      <c r="H34" s="42"/>
      <c r="I34" s="42"/>
      <c r="J34" s="42"/>
      <c r="K34" s="42"/>
      <c r="L34" s="42"/>
    </row>
    <row r="35" spans="4:12" x14ac:dyDescent="0.4">
      <c r="D35" s="36">
        <v>35</v>
      </c>
      <c r="E35" s="42"/>
      <c r="F35" s="42"/>
      <c r="G35" s="42"/>
      <c r="H35" s="42"/>
      <c r="I35" s="42"/>
      <c r="J35" s="42"/>
      <c r="K35" s="42"/>
      <c r="L35" s="42"/>
    </row>
    <row r="36" spans="4:12" x14ac:dyDescent="0.4">
      <c r="D36" s="36">
        <v>36</v>
      </c>
      <c r="E36" s="42"/>
      <c r="F36" s="42"/>
      <c r="G36" s="42"/>
      <c r="H36" s="42"/>
      <c r="I36" s="42"/>
      <c r="J36" s="42"/>
      <c r="K36" s="42"/>
      <c r="L36" s="42"/>
    </row>
  </sheetData>
  <mergeCells count="1">
    <mergeCell ref="A2:G2"/>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7"/>
  <dimension ref="A1:AZ3761"/>
  <sheetViews>
    <sheetView topLeftCell="P1" zoomScale="90" zoomScaleNormal="90" workbookViewId="0">
      <selection activeCell="S7" sqref="S7"/>
    </sheetView>
  </sheetViews>
  <sheetFormatPr defaultColWidth="9.1640625" defaultRowHeight="14.1" x14ac:dyDescent="0.5"/>
  <cols>
    <col min="1" max="1" width="11.1640625" style="25" customWidth="1"/>
    <col min="2" max="2" width="18.44140625" style="25" bestFit="1" customWidth="1"/>
    <col min="3" max="3" width="23.5546875" style="74" customWidth="1"/>
    <col min="4" max="4" width="9.1640625" style="7"/>
    <col min="5" max="5" width="9.1640625" style="7" customWidth="1"/>
    <col min="6" max="6" width="7.44140625" style="7" customWidth="1"/>
    <col min="7" max="7" width="8.1640625" style="25" bestFit="1" customWidth="1"/>
    <col min="8" max="8" width="11.71875" style="25" bestFit="1" customWidth="1"/>
    <col min="9" max="9" width="8.83203125" style="25" bestFit="1" customWidth="1"/>
    <col min="10" max="10" width="11.5546875" style="25" bestFit="1" customWidth="1"/>
    <col min="11" max="11" width="11.44140625" style="30" customWidth="1"/>
    <col min="12" max="12" width="9.44140625" style="7" customWidth="1"/>
    <col min="13" max="13" width="7.44140625" style="7" bestFit="1" customWidth="1"/>
    <col min="14" max="14" width="8.44140625" style="25" bestFit="1" customWidth="1"/>
    <col min="15" max="15" width="11.71875" style="25" bestFit="1" customWidth="1"/>
    <col min="16" max="16" width="16.44140625" style="25" bestFit="1" customWidth="1"/>
    <col min="17" max="17" width="11.5546875" style="25" bestFit="1" customWidth="1"/>
    <col min="18" max="18" width="13.5546875" style="25" bestFit="1" customWidth="1"/>
    <col min="19" max="19" width="7.44140625" style="25" bestFit="1" customWidth="1"/>
    <col min="20" max="20" width="9.1640625" style="30"/>
    <col min="21" max="21" width="18.109375" style="30" customWidth="1"/>
    <col min="22" max="23" width="9.1640625" style="30"/>
    <col min="24" max="24" width="11.88671875" style="30" customWidth="1"/>
    <col min="25" max="25" width="9.1640625" style="7"/>
    <col min="26" max="26" width="16.94140625" style="7" customWidth="1"/>
    <col min="27" max="16384" width="9.1640625" style="7"/>
  </cols>
  <sheetData>
    <row r="1" spans="1:52" ht="59.7" customHeight="1" x14ac:dyDescent="0.5">
      <c r="A1" s="19" t="s">
        <v>129</v>
      </c>
      <c r="B1" s="19" t="s">
        <v>1</v>
      </c>
      <c r="C1" s="79" t="s">
        <v>2</v>
      </c>
      <c r="F1" s="18" t="s">
        <v>8</v>
      </c>
      <c r="G1" s="19" t="s">
        <v>130</v>
      </c>
      <c r="H1" s="19" t="s">
        <v>1</v>
      </c>
      <c r="I1" s="19" t="s">
        <v>3</v>
      </c>
      <c r="J1" s="19" t="s">
        <v>4</v>
      </c>
      <c r="K1" s="69" t="s">
        <v>119</v>
      </c>
      <c r="L1" s="81" t="s">
        <v>162</v>
      </c>
      <c r="M1" s="18" t="s">
        <v>9</v>
      </c>
      <c r="N1" s="19" t="s">
        <v>131</v>
      </c>
      <c r="O1" s="19" t="s">
        <v>1</v>
      </c>
      <c r="P1" s="19" t="s">
        <v>3</v>
      </c>
      <c r="Q1" s="19" t="s">
        <v>5</v>
      </c>
      <c r="R1" s="19" t="s">
        <v>6</v>
      </c>
      <c r="S1" s="19" t="s">
        <v>7</v>
      </c>
      <c r="T1" s="81" t="s">
        <v>210</v>
      </c>
      <c r="U1" s="81" t="s">
        <v>209</v>
      </c>
      <c r="V1" s="81" t="s">
        <v>187</v>
      </c>
      <c r="W1" s="81" t="s">
        <v>188</v>
      </c>
      <c r="X1" s="81" t="s">
        <v>189</v>
      </c>
      <c r="Y1" s="81" t="s">
        <v>224</v>
      </c>
      <c r="Z1" s="81" t="s">
        <v>225</v>
      </c>
    </row>
    <row r="2" spans="1:52" x14ac:dyDescent="0.5">
      <c r="A2" s="25" t="s">
        <v>113</v>
      </c>
      <c r="B2" s="25" t="s">
        <v>113</v>
      </c>
      <c r="C2" s="85" t="str">
        <f>CONCATENATE("Company ",'Current Parameters'!A11)</f>
        <v>Company B</v>
      </c>
      <c r="G2" s="24" t="s">
        <v>75</v>
      </c>
      <c r="H2" s="25" t="s">
        <v>46</v>
      </c>
      <c r="I2" s="25" t="s">
        <v>46</v>
      </c>
      <c r="J2" s="25" t="s">
        <v>118</v>
      </c>
      <c r="K2" s="30" t="str">
        <f>ChartRanges!F5</f>
        <v>A2:B3</v>
      </c>
      <c r="L2" s="30" t="s">
        <v>20</v>
      </c>
      <c r="N2" s="25" t="s">
        <v>112</v>
      </c>
      <c r="O2" s="25" t="s">
        <v>103</v>
      </c>
      <c r="P2" s="25" t="s">
        <v>103</v>
      </c>
      <c r="Q2" s="25" t="str">
        <f>ChartRanges!F4</f>
        <v>A1:B4</v>
      </c>
      <c r="R2" s="25" t="b">
        <f>IF(ChartRanges!C11&gt;5,TRUE,FALSE)</f>
        <v>0</v>
      </c>
      <c r="S2" s="25" t="b">
        <v>1</v>
      </c>
      <c r="T2" s="30" t="b">
        <v>0</v>
      </c>
      <c r="V2" s="30">
        <v>1</v>
      </c>
      <c r="W2" s="30" t="s">
        <v>190</v>
      </c>
      <c r="X2" s="30" t="str">
        <f>'Table 1'!C1</f>
        <v xml:space="preserve">The count for age 22-30 is 1.  The count for age 30-50 is 2.  The count for age 51+ is 0.  </v>
      </c>
      <c r="Y2" s="30">
        <v>10</v>
      </c>
      <c r="Z2" s="30" t="s">
        <v>35</v>
      </c>
      <c r="AZ2" s="7" t="s">
        <v>160</v>
      </c>
    </row>
    <row r="3" spans="1:52" x14ac:dyDescent="0.5">
      <c r="A3" s="25" t="s">
        <v>114</v>
      </c>
      <c r="B3" s="25" t="s">
        <v>114</v>
      </c>
      <c r="C3" s="75">
        <f ca="1">Date!D2</f>
        <v>2024</v>
      </c>
      <c r="G3" s="30" t="s">
        <v>76</v>
      </c>
      <c r="H3" s="25" t="s">
        <v>47</v>
      </c>
      <c r="I3" s="25" t="s">
        <v>47</v>
      </c>
      <c r="J3" s="25" t="s">
        <v>118</v>
      </c>
      <c r="K3" s="30" t="str">
        <f>ChartRanges!F6</f>
        <v>A2:B3</v>
      </c>
      <c r="L3" s="30"/>
      <c r="N3" s="25" t="s">
        <v>147</v>
      </c>
      <c r="O3" s="25" t="s">
        <v>144</v>
      </c>
      <c r="P3" s="25" t="s">
        <v>144</v>
      </c>
      <c r="Q3" s="25" t="str">
        <f>ChartRanges!F7</f>
        <v>A2:B3</v>
      </c>
      <c r="R3" s="25" t="b">
        <v>0</v>
      </c>
      <c r="S3" s="25" t="b">
        <v>0</v>
      </c>
      <c r="T3" s="30" t="b">
        <v>0</v>
      </c>
      <c r="Y3" s="30"/>
      <c r="Z3" s="30"/>
      <c r="AZ3" s="7" t="s">
        <v>208</v>
      </c>
    </row>
    <row r="4" spans="1:52" x14ac:dyDescent="0.5">
      <c r="A4" s="25" t="s">
        <v>115</v>
      </c>
      <c r="B4" s="25" t="s">
        <v>116</v>
      </c>
      <c r="C4" s="86">
        <f>SUM('Table 1'!B2:B10)</f>
        <v>3</v>
      </c>
      <c r="G4" s="30"/>
      <c r="L4" s="30"/>
      <c r="N4" s="25" t="s">
        <v>150</v>
      </c>
      <c r="O4" s="25" t="s">
        <v>151</v>
      </c>
      <c r="P4" s="25" t="s">
        <v>149</v>
      </c>
      <c r="Q4" s="25" t="str">
        <f>ChartRanges!F8</f>
        <v>A2:B4</v>
      </c>
      <c r="T4" s="30" t="b">
        <v>1</v>
      </c>
      <c r="U4" s="30" t="s">
        <v>161</v>
      </c>
      <c r="W4" s="30" t="s">
        <v>197</v>
      </c>
      <c r="X4" s="30" t="s">
        <v>199</v>
      </c>
      <c r="Y4" s="30"/>
      <c r="Z4" s="30"/>
      <c r="AZ4" s="7" t="s">
        <v>207</v>
      </c>
    </row>
    <row r="5" spans="1:52" x14ac:dyDescent="0.5">
      <c r="G5" s="30"/>
      <c r="L5" s="30"/>
      <c r="N5" s="25" t="s">
        <v>194</v>
      </c>
      <c r="O5" s="25" t="s">
        <v>151</v>
      </c>
      <c r="P5" s="25" t="s">
        <v>149</v>
      </c>
      <c r="Q5" s="25" t="str">
        <f>ChartRanges!F8</f>
        <v>A2:B4</v>
      </c>
      <c r="T5" s="30" t="b">
        <v>1</v>
      </c>
      <c r="U5" s="30" t="s">
        <v>160</v>
      </c>
      <c r="W5" s="30" t="s">
        <v>198</v>
      </c>
      <c r="X5" s="30" t="s">
        <v>200</v>
      </c>
      <c r="Y5" s="30"/>
      <c r="Z5" s="30"/>
    </row>
    <row r="6" spans="1:52" x14ac:dyDescent="0.5">
      <c r="G6" s="30"/>
      <c r="L6" s="30"/>
      <c r="Y6" s="30"/>
      <c r="Z6" s="30"/>
    </row>
    <row r="7" spans="1:52" x14ac:dyDescent="0.5">
      <c r="G7" s="30"/>
      <c r="L7" s="30"/>
      <c r="Y7" s="30"/>
      <c r="Z7" s="30"/>
    </row>
    <row r="8" spans="1:52" x14ac:dyDescent="0.5">
      <c r="G8" s="30"/>
      <c r="L8" s="30"/>
      <c r="Y8" s="30"/>
      <c r="Z8" s="30"/>
    </row>
    <row r="9" spans="1:52" x14ac:dyDescent="0.5">
      <c r="L9" s="30"/>
      <c r="Y9" s="30"/>
      <c r="Z9" s="30"/>
    </row>
    <row r="10" spans="1:52" x14ac:dyDescent="0.5">
      <c r="L10" s="30"/>
      <c r="Y10" s="30"/>
      <c r="Z10" s="30"/>
    </row>
    <row r="11" spans="1:52" x14ac:dyDescent="0.5">
      <c r="G11" s="30"/>
      <c r="L11" s="30"/>
      <c r="Y11" s="30"/>
      <c r="Z11" s="30"/>
    </row>
    <row r="12" spans="1:52" x14ac:dyDescent="0.5">
      <c r="A12" s="46"/>
      <c r="G12" s="30"/>
      <c r="L12" s="30"/>
      <c r="Y12" s="30"/>
      <c r="Z12" s="30"/>
    </row>
    <row r="13" spans="1:52" x14ac:dyDescent="0.5">
      <c r="C13" s="76"/>
      <c r="G13" s="30"/>
      <c r="L13" s="30"/>
      <c r="Y13" s="30"/>
      <c r="Z13" s="30"/>
    </row>
    <row r="14" spans="1:52" x14ac:dyDescent="0.5">
      <c r="C14" s="77"/>
      <c r="G14" s="30"/>
      <c r="L14" s="30"/>
      <c r="Y14" s="30"/>
      <c r="Z14" s="30"/>
    </row>
    <row r="15" spans="1:52" x14ac:dyDescent="0.5">
      <c r="C15" s="77"/>
      <c r="G15" s="30"/>
      <c r="L15" s="30"/>
      <c r="Y15" s="30"/>
      <c r="Z15" s="30"/>
    </row>
    <row r="16" spans="1:52" x14ac:dyDescent="0.5">
      <c r="C16" s="75"/>
      <c r="G16" s="30"/>
      <c r="L16" s="30"/>
      <c r="Y16" s="30"/>
      <c r="Z16" s="30"/>
    </row>
    <row r="17" spans="3:26" x14ac:dyDescent="0.5">
      <c r="C17" s="78"/>
      <c r="G17" s="30"/>
      <c r="L17" s="30"/>
      <c r="Y17" s="30"/>
      <c r="Z17" s="30"/>
    </row>
    <row r="18" spans="3:26" x14ac:dyDescent="0.5">
      <c r="G18" s="30"/>
      <c r="L18" s="30"/>
      <c r="Y18" s="30"/>
      <c r="Z18" s="30"/>
    </row>
    <row r="19" spans="3:26" x14ac:dyDescent="0.5">
      <c r="G19" s="30"/>
      <c r="L19" s="30"/>
      <c r="Y19" s="30"/>
      <c r="Z19" s="30"/>
    </row>
    <row r="20" spans="3:26" x14ac:dyDescent="0.5">
      <c r="C20" s="75"/>
      <c r="G20" s="30"/>
      <c r="L20" s="30"/>
      <c r="Y20" s="30"/>
      <c r="Z20" s="30"/>
    </row>
    <row r="21" spans="3:26" x14ac:dyDescent="0.5">
      <c r="G21" s="30"/>
      <c r="L21" s="30"/>
      <c r="Y21" s="30"/>
      <c r="Z21" s="30"/>
    </row>
    <row r="22" spans="3:26" x14ac:dyDescent="0.5">
      <c r="G22" s="30"/>
      <c r="L22" s="30"/>
      <c r="Y22" s="30"/>
      <c r="Z22" s="30"/>
    </row>
    <row r="23" spans="3:26" x14ac:dyDescent="0.5">
      <c r="G23" s="30"/>
      <c r="L23" s="30"/>
      <c r="Y23" s="30"/>
      <c r="Z23" s="30"/>
    </row>
    <row r="24" spans="3:26" x14ac:dyDescent="0.5">
      <c r="G24" s="30"/>
      <c r="L24" s="30"/>
      <c r="Y24" s="30"/>
      <c r="Z24" s="30"/>
    </row>
    <row r="25" spans="3:26" x14ac:dyDescent="0.5">
      <c r="G25" s="30"/>
      <c r="L25" s="30"/>
      <c r="Y25" s="30"/>
      <c r="Z25" s="30"/>
    </row>
    <row r="26" spans="3:26" x14ac:dyDescent="0.5">
      <c r="G26" s="30"/>
      <c r="L26" s="30"/>
      <c r="Y26" s="30"/>
      <c r="Z26" s="30"/>
    </row>
    <row r="27" spans="3:26" x14ac:dyDescent="0.5">
      <c r="G27" s="30"/>
      <c r="L27" s="30"/>
      <c r="Y27" s="30"/>
      <c r="Z27" s="30"/>
    </row>
    <row r="28" spans="3:26" x14ac:dyDescent="0.5">
      <c r="G28" s="30"/>
      <c r="L28" s="30"/>
      <c r="Y28" s="30"/>
      <c r="Z28" s="30"/>
    </row>
    <row r="29" spans="3:26" x14ac:dyDescent="0.5">
      <c r="G29" s="30"/>
      <c r="L29" s="30"/>
      <c r="Y29" s="30"/>
      <c r="Z29" s="30"/>
    </row>
    <row r="30" spans="3:26" x14ac:dyDescent="0.5">
      <c r="G30" s="30"/>
      <c r="L30" s="30"/>
      <c r="Y30" s="30"/>
      <c r="Z30" s="30"/>
    </row>
    <row r="31" spans="3:26" x14ac:dyDescent="0.5">
      <c r="G31" s="30"/>
      <c r="L31" s="30"/>
      <c r="Y31" s="30"/>
      <c r="Z31" s="30"/>
    </row>
    <row r="32" spans="3:26" x14ac:dyDescent="0.5">
      <c r="G32" s="30"/>
      <c r="L32" s="30"/>
      <c r="Y32" s="30"/>
      <c r="Z32" s="30"/>
    </row>
    <row r="33" spans="12:26" x14ac:dyDescent="0.5">
      <c r="L33" s="30"/>
      <c r="Y33" s="30"/>
      <c r="Z33" s="30"/>
    </row>
    <row r="34" spans="12:26" x14ac:dyDescent="0.5">
      <c r="L34" s="30"/>
      <c r="Y34" s="30"/>
      <c r="Z34" s="30"/>
    </row>
    <row r="35" spans="12:26" x14ac:dyDescent="0.5">
      <c r="L35" s="30"/>
      <c r="Y35" s="30"/>
      <c r="Z35" s="30"/>
    </row>
    <row r="36" spans="12:26" x14ac:dyDescent="0.5">
      <c r="L36" s="30"/>
      <c r="Y36" s="30"/>
      <c r="Z36" s="30"/>
    </row>
    <row r="37" spans="12:26" x14ac:dyDescent="0.5">
      <c r="L37" s="30"/>
      <c r="Y37" s="30"/>
      <c r="Z37" s="30"/>
    </row>
    <row r="38" spans="12:26" x14ac:dyDescent="0.5">
      <c r="L38" s="30"/>
      <c r="Y38" s="30"/>
      <c r="Z38" s="30"/>
    </row>
    <row r="39" spans="12:26" x14ac:dyDescent="0.5">
      <c r="L39" s="30"/>
      <c r="Y39" s="30"/>
      <c r="Z39" s="30"/>
    </row>
    <row r="40" spans="12:26" x14ac:dyDescent="0.5">
      <c r="L40" s="30"/>
      <c r="Y40" s="30"/>
      <c r="Z40" s="30"/>
    </row>
    <row r="41" spans="12:26" x14ac:dyDescent="0.5">
      <c r="L41" s="30"/>
      <c r="Y41" s="30"/>
      <c r="Z41" s="30"/>
    </row>
    <row r="42" spans="12:26" x14ac:dyDescent="0.5">
      <c r="L42" s="30"/>
      <c r="Y42" s="30"/>
      <c r="Z42" s="30"/>
    </row>
    <row r="43" spans="12:26" x14ac:dyDescent="0.5">
      <c r="L43" s="30"/>
      <c r="Y43" s="30"/>
      <c r="Z43" s="30"/>
    </row>
    <row r="44" spans="12:26" x14ac:dyDescent="0.5">
      <c r="L44" s="30"/>
      <c r="Y44" s="30"/>
      <c r="Z44" s="30"/>
    </row>
    <row r="45" spans="12:26" x14ac:dyDescent="0.5">
      <c r="L45" s="30"/>
      <c r="Y45" s="30"/>
      <c r="Z45" s="30"/>
    </row>
    <row r="46" spans="12:26" x14ac:dyDescent="0.5">
      <c r="L46" s="30"/>
      <c r="Y46" s="30"/>
      <c r="Z46" s="30"/>
    </row>
    <row r="47" spans="12:26" x14ac:dyDescent="0.5">
      <c r="L47" s="30"/>
      <c r="Y47" s="30"/>
      <c r="Z47" s="30"/>
    </row>
    <row r="48" spans="12:26" x14ac:dyDescent="0.5">
      <c r="L48" s="30"/>
      <c r="Y48" s="30"/>
      <c r="Z48" s="30"/>
    </row>
    <row r="49" spans="12:26" x14ac:dyDescent="0.5">
      <c r="L49" s="30"/>
      <c r="Y49" s="30"/>
      <c r="Z49" s="30"/>
    </row>
    <row r="50" spans="12:26" x14ac:dyDescent="0.5">
      <c r="L50" s="30"/>
      <c r="Y50" s="30"/>
      <c r="Z50" s="30"/>
    </row>
    <row r="51" spans="12:26" x14ac:dyDescent="0.5">
      <c r="L51" s="30"/>
      <c r="Y51" s="30"/>
      <c r="Z51" s="30"/>
    </row>
    <row r="52" spans="12:26" x14ac:dyDescent="0.5">
      <c r="L52" s="30"/>
      <c r="Y52" s="30"/>
      <c r="Z52" s="30"/>
    </row>
    <row r="53" spans="12:26" x14ac:dyDescent="0.5">
      <c r="L53" s="30"/>
      <c r="Y53" s="30"/>
      <c r="Z53" s="30"/>
    </row>
    <row r="54" spans="12:26" x14ac:dyDescent="0.5">
      <c r="L54" s="30"/>
      <c r="Y54" s="30"/>
      <c r="Z54" s="30"/>
    </row>
    <row r="55" spans="12:26" x14ac:dyDescent="0.5">
      <c r="L55" s="30"/>
      <c r="Y55" s="30"/>
      <c r="Z55" s="30"/>
    </row>
    <row r="56" spans="12:26" x14ac:dyDescent="0.5">
      <c r="L56" s="30"/>
      <c r="Y56" s="30"/>
      <c r="Z56" s="30"/>
    </row>
    <row r="57" spans="12:26" x14ac:dyDescent="0.5">
      <c r="L57" s="30"/>
      <c r="Y57" s="30"/>
      <c r="Z57" s="30"/>
    </row>
    <row r="58" spans="12:26" x14ac:dyDescent="0.5">
      <c r="L58" s="30"/>
      <c r="Y58" s="30"/>
      <c r="Z58" s="30"/>
    </row>
    <row r="59" spans="12:26" x14ac:dyDescent="0.5">
      <c r="L59" s="30"/>
      <c r="Y59" s="30"/>
      <c r="Z59" s="30"/>
    </row>
    <row r="60" spans="12:26" x14ac:dyDescent="0.5">
      <c r="L60" s="30"/>
      <c r="Y60" s="30"/>
      <c r="Z60" s="30"/>
    </row>
    <row r="61" spans="12:26" x14ac:dyDescent="0.5">
      <c r="L61" s="30"/>
      <c r="Y61" s="30"/>
      <c r="Z61" s="30"/>
    </row>
    <row r="62" spans="12:26" x14ac:dyDescent="0.5">
      <c r="L62" s="30"/>
      <c r="Y62" s="30"/>
      <c r="Z62" s="30"/>
    </row>
    <row r="63" spans="12:26" x14ac:dyDescent="0.5">
      <c r="L63" s="30"/>
      <c r="Y63" s="30"/>
      <c r="Z63" s="30"/>
    </row>
    <row r="64" spans="12:26" x14ac:dyDescent="0.5">
      <c r="L64" s="30"/>
      <c r="Y64" s="30"/>
      <c r="Z64" s="30"/>
    </row>
    <row r="65" spans="12:26" x14ac:dyDescent="0.5">
      <c r="L65" s="30"/>
      <c r="Y65" s="30"/>
      <c r="Z65" s="30"/>
    </row>
    <row r="66" spans="12:26" x14ac:dyDescent="0.5">
      <c r="L66" s="30"/>
      <c r="Y66" s="30"/>
      <c r="Z66" s="30"/>
    </row>
    <row r="67" spans="12:26" x14ac:dyDescent="0.5">
      <c r="L67" s="30"/>
      <c r="Y67" s="30"/>
      <c r="Z67" s="30"/>
    </row>
    <row r="68" spans="12:26" x14ac:dyDescent="0.5">
      <c r="L68" s="30"/>
      <c r="Y68" s="30"/>
      <c r="Z68" s="30"/>
    </row>
    <row r="69" spans="12:26" x14ac:dyDescent="0.5">
      <c r="L69" s="30"/>
      <c r="Y69" s="30"/>
      <c r="Z69" s="30"/>
    </row>
    <row r="70" spans="12:26" x14ac:dyDescent="0.5">
      <c r="L70" s="30"/>
      <c r="Y70" s="30"/>
      <c r="Z70" s="30"/>
    </row>
    <row r="71" spans="12:26" x14ac:dyDescent="0.5">
      <c r="L71" s="30"/>
      <c r="Y71" s="30"/>
      <c r="Z71" s="30"/>
    </row>
    <row r="72" spans="12:26" x14ac:dyDescent="0.5">
      <c r="L72" s="30"/>
      <c r="Y72" s="30"/>
      <c r="Z72" s="30"/>
    </row>
    <row r="73" spans="12:26" x14ac:dyDescent="0.5">
      <c r="L73" s="30"/>
      <c r="Y73" s="30"/>
      <c r="Z73" s="30"/>
    </row>
    <row r="74" spans="12:26" x14ac:dyDescent="0.5">
      <c r="L74" s="30"/>
      <c r="Y74" s="30"/>
      <c r="Z74" s="30"/>
    </row>
    <row r="75" spans="12:26" x14ac:dyDescent="0.5">
      <c r="L75" s="30"/>
      <c r="Y75" s="30"/>
      <c r="Z75" s="30"/>
    </row>
    <row r="76" spans="12:26" x14ac:dyDescent="0.5">
      <c r="L76" s="30"/>
      <c r="Y76" s="30"/>
      <c r="Z76" s="30"/>
    </row>
    <row r="77" spans="12:26" x14ac:dyDescent="0.5">
      <c r="L77" s="30"/>
      <c r="Y77" s="30"/>
      <c r="Z77" s="30"/>
    </row>
    <row r="78" spans="12:26" x14ac:dyDescent="0.5">
      <c r="L78" s="30"/>
      <c r="Y78" s="30"/>
      <c r="Z78" s="30"/>
    </row>
    <row r="79" spans="12:26" x14ac:dyDescent="0.5">
      <c r="L79" s="30"/>
      <c r="Y79" s="30"/>
      <c r="Z79" s="30"/>
    </row>
    <row r="80" spans="12:26" x14ac:dyDescent="0.5">
      <c r="L80" s="30"/>
      <c r="Y80" s="30"/>
      <c r="Z80" s="30"/>
    </row>
    <row r="81" spans="12:26" x14ac:dyDescent="0.5">
      <c r="L81" s="30"/>
      <c r="Y81" s="30"/>
      <c r="Z81" s="30"/>
    </row>
    <row r="82" spans="12:26" x14ac:dyDescent="0.5">
      <c r="L82" s="30"/>
      <c r="Y82" s="30"/>
      <c r="Z82" s="30"/>
    </row>
    <row r="83" spans="12:26" x14ac:dyDescent="0.5">
      <c r="L83" s="30"/>
      <c r="Y83" s="30"/>
      <c r="Z83" s="30"/>
    </row>
    <row r="84" spans="12:26" x14ac:dyDescent="0.5">
      <c r="L84" s="30"/>
      <c r="Y84" s="30"/>
      <c r="Z84" s="30"/>
    </row>
    <row r="85" spans="12:26" x14ac:dyDescent="0.5">
      <c r="L85" s="30"/>
      <c r="Y85" s="30"/>
      <c r="Z85" s="30"/>
    </row>
    <row r="86" spans="12:26" x14ac:dyDescent="0.5">
      <c r="L86" s="30"/>
      <c r="Y86" s="30"/>
      <c r="Z86" s="30"/>
    </row>
    <row r="87" spans="12:26" x14ac:dyDescent="0.5">
      <c r="L87" s="30"/>
      <c r="Y87" s="30"/>
      <c r="Z87" s="30"/>
    </row>
    <row r="88" spans="12:26" x14ac:dyDescent="0.5">
      <c r="L88" s="30"/>
      <c r="Y88" s="30"/>
      <c r="Z88" s="30"/>
    </row>
    <row r="89" spans="12:26" x14ac:dyDescent="0.5">
      <c r="L89" s="30"/>
      <c r="Y89" s="30"/>
      <c r="Z89" s="30"/>
    </row>
    <row r="90" spans="12:26" x14ac:dyDescent="0.5">
      <c r="L90" s="30"/>
      <c r="Y90" s="30"/>
      <c r="Z90" s="30"/>
    </row>
    <row r="91" spans="12:26" x14ac:dyDescent="0.5">
      <c r="L91" s="30"/>
      <c r="Y91" s="30"/>
      <c r="Z91" s="30"/>
    </row>
    <row r="92" spans="12:26" x14ac:dyDescent="0.5">
      <c r="L92" s="30"/>
      <c r="Y92" s="30"/>
      <c r="Z92" s="30"/>
    </row>
    <row r="93" spans="12:26" x14ac:dyDescent="0.5">
      <c r="L93" s="30"/>
      <c r="Y93" s="30"/>
      <c r="Z93" s="30"/>
    </row>
    <row r="94" spans="12:26" x14ac:dyDescent="0.5">
      <c r="L94" s="30"/>
      <c r="Y94" s="30"/>
      <c r="Z94" s="30"/>
    </row>
    <row r="95" spans="12:26" x14ac:dyDescent="0.5">
      <c r="L95" s="30"/>
      <c r="Y95" s="30"/>
      <c r="Z95" s="30"/>
    </row>
    <row r="96" spans="12:26" x14ac:dyDescent="0.5">
      <c r="L96" s="30"/>
      <c r="Y96" s="30"/>
      <c r="Z96" s="30"/>
    </row>
    <row r="97" spans="12:26" x14ac:dyDescent="0.5">
      <c r="L97" s="30"/>
      <c r="Y97" s="30"/>
      <c r="Z97" s="30"/>
    </row>
    <row r="98" spans="12:26" x14ac:dyDescent="0.5">
      <c r="L98" s="30"/>
      <c r="Y98" s="30"/>
      <c r="Z98" s="30"/>
    </row>
    <row r="99" spans="12:26" x14ac:dyDescent="0.5">
      <c r="L99" s="30"/>
      <c r="Y99" s="30"/>
      <c r="Z99" s="30"/>
    </row>
    <row r="100" spans="12:26" x14ac:dyDescent="0.5">
      <c r="L100" s="30"/>
      <c r="Y100" s="30"/>
      <c r="Z100" s="30"/>
    </row>
    <row r="101" spans="12:26" x14ac:dyDescent="0.5">
      <c r="L101" s="30"/>
      <c r="Y101" s="30"/>
      <c r="Z101" s="30"/>
    </row>
    <row r="102" spans="12:26" x14ac:dyDescent="0.5">
      <c r="L102" s="30"/>
      <c r="Y102" s="30"/>
      <c r="Z102" s="30"/>
    </row>
    <row r="103" spans="12:26" x14ac:dyDescent="0.5">
      <c r="L103" s="30"/>
      <c r="Y103" s="30"/>
      <c r="Z103" s="30"/>
    </row>
    <row r="104" spans="12:26" x14ac:dyDescent="0.5">
      <c r="L104" s="30"/>
      <c r="Y104" s="30"/>
      <c r="Z104" s="30"/>
    </row>
    <row r="105" spans="12:26" x14ac:dyDescent="0.5">
      <c r="L105" s="30"/>
      <c r="Y105" s="30"/>
      <c r="Z105" s="30"/>
    </row>
    <row r="106" spans="12:26" x14ac:dyDescent="0.5">
      <c r="L106" s="30"/>
      <c r="Y106" s="30"/>
      <c r="Z106" s="30"/>
    </row>
    <row r="107" spans="12:26" x14ac:dyDescent="0.5">
      <c r="L107" s="30"/>
      <c r="Y107" s="30"/>
      <c r="Z107" s="30"/>
    </row>
    <row r="108" spans="12:26" x14ac:dyDescent="0.5">
      <c r="L108" s="30"/>
      <c r="Y108" s="30"/>
      <c r="Z108" s="30"/>
    </row>
    <row r="109" spans="12:26" x14ac:dyDescent="0.5">
      <c r="L109" s="30"/>
      <c r="Y109" s="30"/>
      <c r="Z109" s="30"/>
    </row>
    <row r="110" spans="12:26" x14ac:dyDescent="0.5">
      <c r="L110" s="30"/>
      <c r="Y110" s="30"/>
      <c r="Z110" s="30"/>
    </row>
    <row r="111" spans="12:26" x14ac:dyDescent="0.5">
      <c r="L111" s="30"/>
      <c r="Y111" s="30"/>
      <c r="Z111" s="30"/>
    </row>
    <row r="112" spans="12:26" x14ac:dyDescent="0.5">
      <c r="L112" s="30"/>
      <c r="Y112" s="30"/>
      <c r="Z112" s="30"/>
    </row>
    <row r="113" spans="12:26" x14ac:dyDescent="0.5">
      <c r="L113" s="30"/>
      <c r="Y113" s="30"/>
      <c r="Z113" s="30"/>
    </row>
    <row r="114" spans="12:26" x14ac:dyDescent="0.5">
      <c r="L114" s="30"/>
      <c r="Y114" s="30"/>
      <c r="Z114" s="30"/>
    </row>
    <row r="115" spans="12:26" x14ac:dyDescent="0.5">
      <c r="L115" s="30"/>
      <c r="Y115" s="30"/>
      <c r="Z115" s="30"/>
    </row>
    <row r="116" spans="12:26" x14ac:dyDescent="0.5">
      <c r="L116" s="30"/>
      <c r="Y116" s="30"/>
      <c r="Z116" s="30"/>
    </row>
    <row r="117" spans="12:26" x14ac:dyDescent="0.5">
      <c r="L117" s="30"/>
      <c r="Y117" s="30"/>
      <c r="Z117" s="30"/>
    </row>
    <row r="118" spans="12:26" x14ac:dyDescent="0.5">
      <c r="L118" s="30"/>
      <c r="Y118" s="30"/>
      <c r="Z118" s="30"/>
    </row>
    <row r="119" spans="12:26" x14ac:dyDescent="0.5">
      <c r="L119" s="30"/>
      <c r="Y119" s="30"/>
      <c r="Z119" s="30"/>
    </row>
    <row r="120" spans="12:26" x14ac:dyDescent="0.5">
      <c r="L120" s="30"/>
      <c r="Y120" s="30"/>
      <c r="Z120" s="30"/>
    </row>
    <row r="121" spans="12:26" x14ac:dyDescent="0.5">
      <c r="L121" s="30"/>
      <c r="Y121" s="30"/>
      <c r="Z121" s="30"/>
    </row>
    <row r="122" spans="12:26" x14ac:dyDescent="0.5">
      <c r="L122" s="30"/>
      <c r="Y122" s="30"/>
      <c r="Z122" s="30"/>
    </row>
    <row r="123" spans="12:26" x14ac:dyDescent="0.5">
      <c r="L123" s="30"/>
      <c r="Y123" s="30"/>
      <c r="Z123" s="30"/>
    </row>
    <row r="124" spans="12:26" x14ac:dyDescent="0.5">
      <c r="L124" s="30"/>
      <c r="Y124" s="30"/>
      <c r="Z124" s="30"/>
    </row>
    <row r="125" spans="12:26" x14ac:dyDescent="0.5">
      <c r="L125" s="30"/>
      <c r="Y125" s="30"/>
      <c r="Z125" s="30"/>
    </row>
    <row r="126" spans="12:26" x14ac:dyDescent="0.5">
      <c r="L126" s="30"/>
      <c r="Y126" s="30"/>
      <c r="Z126" s="30"/>
    </row>
    <row r="127" spans="12:26" x14ac:dyDescent="0.5">
      <c r="L127" s="30"/>
      <c r="Y127" s="30"/>
      <c r="Z127" s="30"/>
    </row>
    <row r="128" spans="12:26" x14ac:dyDescent="0.5">
      <c r="L128" s="30"/>
      <c r="Y128" s="30"/>
      <c r="Z128" s="30"/>
    </row>
    <row r="129" spans="12:26" x14ac:dyDescent="0.5">
      <c r="L129" s="30"/>
      <c r="Y129" s="30"/>
      <c r="Z129" s="30"/>
    </row>
    <row r="130" spans="12:26" x14ac:dyDescent="0.5">
      <c r="L130" s="30"/>
      <c r="Y130" s="30"/>
      <c r="Z130" s="30"/>
    </row>
    <row r="131" spans="12:26" x14ac:dyDescent="0.5">
      <c r="L131" s="30"/>
      <c r="Y131" s="30"/>
      <c r="Z131" s="30"/>
    </row>
    <row r="132" spans="12:26" x14ac:dyDescent="0.5">
      <c r="L132" s="30"/>
      <c r="Y132" s="30"/>
      <c r="Z132" s="30"/>
    </row>
    <row r="133" spans="12:26" x14ac:dyDescent="0.5">
      <c r="L133" s="30"/>
      <c r="Y133" s="30"/>
      <c r="Z133" s="30"/>
    </row>
    <row r="134" spans="12:26" x14ac:dyDescent="0.5">
      <c r="L134" s="30"/>
      <c r="Y134" s="30"/>
      <c r="Z134" s="30"/>
    </row>
    <row r="135" spans="12:26" x14ac:dyDescent="0.5">
      <c r="L135" s="30"/>
      <c r="Y135" s="30"/>
      <c r="Z135" s="30"/>
    </row>
    <row r="136" spans="12:26" x14ac:dyDescent="0.5">
      <c r="L136" s="30"/>
      <c r="Y136" s="30"/>
      <c r="Z136" s="30"/>
    </row>
    <row r="137" spans="12:26" x14ac:dyDescent="0.5">
      <c r="L137" s="30"/>
      <c r="Y137" s="30"/>
      <c r="Z137" s="30"/>
    </row>
    <row r="138" spans="12:26" x14ac:dyDescent="0.5">
      <c r="L138" s="30"/>
      <c r="Y138" s="30"/>
      <c r="Z138" s="30"/>
    </row>
    <row r="139" spans="12:26" x14ac:dyDescent="0.5">
      <c r="L139" s="30"/>
      <c r="Y139" s="30"/>
      <c r="Z139" s="30"/>
    </row>
    <row r="140" spans="12:26" x14ac:dyDescent="0.5">
      <c r="L140" s="30"/>
      <c r="Y140" s="30"/>
      <c r="Z140" s="30"/>
    </row>
    <row r="141" spans="12:26" x14ac:dyDescent="0.5">
      <c r="L141" s="30"/>
      <c r="Y141" s="30"/>
      <c r="Z141" s="30"/>
    </row>
    <row r="142" spans="12:26" x14ac:dyDescent="0.5">
      <c r="L142" s="30"/>
      <c r="Y142" s="30"/>
      <c r="Z142" s="30"/>
    </row>
    <row r="143" spans="12:26" x14ac:dyDescent="0.5">
      <c r="L143" s="30"/>
      <c r="Y143" s="30"/>
      <c r="Z143" s="30"/>
    </row>
    <row r="144" spans="12:26" x14ac:dyDescent="0.5">
      <c r="L144" s="30"/>
      <c r="Y144" s="30"/>
      <c r="Z144" s="30"/>
    </row>
    <row r="145" spans="12:26" x14ac:dyDescent="0.5">
      <c r="L145" s="30"/>
      <c r="Y145" s="30"/>
      <c r="Z145" s="30"/>
    </row>
    <row r="146" spans="12:26" x14ac:dyDescent="0.5">
      <c r="L146" s="30"/>
      <c r="Y146" s="30"/>
      <c r="Z146" s="30"/>
    </row>
    <row r="147" spans="12:26" x14ac:dyDescent="0.5">
      <c r="L147" s="30"/>
      <c r="Y147" s="30"/>
      <c r="Z147" s="30"/>
    </row>
    <row r="148" spans="12:26" x14ac:dyDescent="0.5">
      <c r="L148" s="30"/>
      <c r="Y148" s="30"/>
      <c r="Z148" s="30"/>
    </row>
    <row r="149" spans="12:26" x14ac:dyDescent="0.5">
      <c r="L149" s="30"/>
      <c r="Y149" s="30"/>
      <c r="Z149" s="30"/>
    </row>
    <row r="150" spans="12:26" x14ac:dyDescent="0.5">
      <c r="L150" s="30"/>
      <c r="Y150" s="30"/>
      <c r="Z150" s="30"/>
    </row>
    <row r="151" spans="12:26" x14ac:dyDescent="0.5">
      <c r="L151" s="30"/>
      <c r="Y151" s="30"/>
      <c r="Z151" s="30"/>
    </row>
    <row r="152" spans="12:26" x14ac:dyDescent="0.5">
      <c r="L152" s="30"/>
      <c r="Y152" s="30"/>
      <c r="Z152" s="30"/>
    </row>
    <row r="153" spans="12:26" x14ac:dyDescent="0.5">
      <c r="L153" s="30"/>
      <c r="Y153" s="30"/>
      <c r="Z153" s="30"/>
    </row>
    <row r="154" spans="12:26" x14ac:dyDescent="0.5">
      <c r="L154" s="30"/>
      <c r="Y154" s="30"/>
      <c r="Z154" s="30"/>
    </row>
    <row r="155" spans="12:26" x14ac:dyDescent="0.5">
      <c r="L155" s="30"/>
      <c r="Y155" s="30"/>
      <c r="Z155" s="30"/>
    </row>
    <row r="156" spans="12:26" x14ac:dyDescent="0.5">
      <c r="L156" s="30"/>
      <c r="Y156" s="30"/>
      <c r="Z156" s="30"/>
    </row>
    <row r="157" spans="12:26" x14ac:dyDescent="0.5">
      <c r="L157" s="30"/>
      <c r="Y157" s="30"/>
      <c r="Z157" s="30"/>
    </row>
    <row r="158" spans="12:26" x14ac:dyDescent="0.5">
      <c r="L158" s="30"/>
      <c r="Y158" s="30"/>
      <c r="Z158" s="30"/>
    </row>
    <row r="159" spans="12:26" x14ac:dyDescent="0.5">
      <c r="L159" s="30"/>
      <c r="Y159" s="30"/>
      <c r="Z159" s="30"/>
    </row>
    <row r="160" spans="12:26" x14ac:dyDescent="0.5">
      <c r="L160" s="30"/>
      <c r="Y160" s="30"/>
      <c r="Z160" s="30"/>
    </row>
    <row r="161" spans="12:26" x14ac:dyDescent="0.5">
      <c r="L161" s="30"/>
      <c r="Y161" s="30"/>
      <c r="Z161" s="30"/>
    </row>
    <row r="162" spans="12:26" x14ac:dyDescent="0.5">
      <c r="L162" s="30"/>
      <c r="Y162" s="30"/>
      <c r="Z162" s="30"/>
    </row>
    <row r="163" spans="12:26" x14ac:dyDescent="0.5">
      <c r="L163" s="30"/>
      <c r="Y163" s="30"/>
      <c r="Z163" s="30"/>
    </row>
    <row r="164" spans="12:26" x14ac:dyDescent="0.5">
      <c r="L164" s="30"/>
      <c r="Y164" s="30"/>
      <c r="Z164" s="30"/>
    </row>
    <row r="165" spans="12:26" x14ac:dyDescent="0.5">
      <c r="L165" s="30"/>
      <c r="Y165" s="30"/>
      <c r="Z165" s="30"/>
    </row>
    <row r="166" spans="12:26" x14ac:dyDescent="0.5">
      <c r="L166" s="30"/>
      <c r="Y166" s="30"/>
      <c r="Z166" s="30"/>
    </row>
    <row r="167" spans="12:26" x14ac:dyDescent="0.5">
      <c r="L167" s="30"/>
      <c r="Y167" s="30"/>
      <c r="Z167" s="30"/>
    </row>
    <row r="168" spans="12:26" x14ac:dyDescent="0.5">
      <c r="L168" s="30"/>
      <c r="Y168" s="30"/>
      <c r="Z168" s="30"/>
    </row>
    <row r="169" spans="12:26" x14ac:dyDescent="0.5">
      <c r="L169" s="30"/>
      <c r="Y169" s="30"/>
      <c r="Z169" s="30"/>
    </row>
    <row r="170" spans="12:26" x14ac:dyDescent="0.5">
      <c r="L170" s="30"/>
      <c r="Y170" s="30"/>
      <c r="Z170" s="30"/>
    </row>
    <row r="171" spans="12:26" x14ac:dyDescent="0.5">
      <c r="L171" s="30"/>
      <c r="Y171" s="30"/>
      <c r="Z171" s="30"/>
    </row>
    <row r="172" spans="12:26" x14ac:dyDescent="0.5">
      <c r="L172" s="30"/>
      <c r="Y172" s="30"/>
      <c r="Z172" s="30"/>
    </row>
    <row r="173" spans="12:26" x14ac:dyDescent="0.5">
      <c r="L173" s="30"/>
      <c r="Y173" s="30"/>
      <c r="Z173" s="30"/>
    </row>
    <row r="174" spans="12:26" x14ac:dyDescent="0.5">
      <c r="L174" s="30"/>
      <c r="Y174" s="30"/>
      <c r="Z174" s="30"/>
    </row>
    <row r="175" spans="12:26" x14ac:dyDescent="0.5">
      <c r="L175" s="30"/>
      <c r="Y175" s="30"/>
      <c r="Z175" s="30"/>
    </row>
    <row r="176" spans="12:26" x14ac:dyDescent="0.5">
      <c r="L176" s="30"/>
      <c r="Y176" s="30"/>
      <c r="Z176" s="30"/>
    </row>
    <row r="177" spans="12:26" x14ac:dyDescent="0.5">
      <c r="L177" s="30"/>
      <c r="Y177" s="30"/>
      <c r="Z177" s="30"/>
    </row>
    <row r="178" spans="12:26" x14ac:dyDescent="0.5">
      <c r="L178" s="30"/>
      <c r="Y178" s="30"/>
      <c r="Z178" s="30"/>
    </row>
    <row r="179" spans="12:26" x14ac:dyDescent="0.5">
      <c r="L179" s="30"/>
      <c r="Y179" s="30"/>
      <c r="Z179" s="30"/>
    </row>
    <row r="180" spans="12:26" x14ac:dyDescent="0.5">
      <c r="L180" s="30"/>
      <c r="Y180" s="30"/>
      <c r="Z180" s="30"/>
    </row>
    <row r="181" spans="12:26" x14ac:dyDescent="0.5">
      <c r="L181" s="30"/>
      <c r="Y181" s="30"/>
      <c r="Z181" s="30"/>
    </row>
    <row r="182" spans="12:26" x14ac:dyDescent="0.5">
      <c r="L182" s="30"/>
      <c r="Y182" s="30"/>
      <c r="Z182" s="30"/>
    </row>
    <row r="183" spans="12:26" x14ac:dyDescent="0.5">
      <c r="L183" s="30"/>
      <c r="Y183" s="30"/>
      <c r="Z183" s="30"/>
    </row>
    <row r="184" spans="12:26" x14ac:dyDescent="0.5">
      <c r="L184" s="30"/>
      <c r="Y184" s="30"/>
      <c r="Z184" s="30"/>
    </row>
    <row r="185" spans="12:26" x14ac:dyDescent="0.5">
      <c r="L185" s="30"/>
      <c r="Y185" s="30"/>
      <c r="Z185" s="30"/>
    </row>
    <row r="186" spans="12:26" x14ac:dyDescent="0.5">
      <c r="L186" s="30"/>
      <c r="Y186" s="30"/>
      <c r="Z186" s="30"/>
    </row>
    <row r="187" spans="12:26" x14ac:dyDescent="0.5">
      <c r="L187" s="30"/>
      <c r="Y187" s="30"/>
      <c r="Z187" s="30"/>
    </row>
    <row r="188" spans="12:26" x14ac:dyDescent="0.5">
      <c r="L188" s="30"/>
      <c r="Y188" s="30"/>
      <c r="Z188" s="30"/>
    </row>
    <row r="189" spans="12:26" x14ac:dyDescent="0.5">
      <c r="L189" s="30"/>
      <c r="Y189" s="30"/>
      <c r="Z189" s="30"/>
    </row>
    <row r="190" spans="12:26" x14ac:dyDescent="0.5">
      <c r="L190" s="30"/>
      <c r="Y190" s="30"/>
      <c r="Z190" s="30"/>
    </row>
    <row r="191" spans="12:26" x14ac:dyDescent="0.5">
      <c r="L191" s="30"/>
      <c r="Y191" s="30"/>
      <c r="Z191" s="30"/>
    </row>
    <row r="192" spans="12:26" x14ac:dyDescent="0.5">
      <c r="L192" s="30"/>
      <c r="Y192" s="30"/>
      <c r="Z192" s="30"/>
    </row>
    <row r="193" spans="12:26" x14ac:dyDescent="0.5">
      <c r="L193" s="30"/>
      <c r="Y193" s="30"/>
      <c r="Z193" s="30"/>
    </row>
    <row r="194" spans="12:26" x14ac:dyDescent="0.5">
      <c r="L194" s="30"/>
      <c r="Y194" s="30"/>
      <c r="Z194" s="30"/>
    </row>
    <row r="195" spans="12:26" x14ac:dyDescent="0.5">
      <c r="L195" s="30"/>
      <c r="Y195" s="30"/>
      <c r="Z195" s="30"/>
    </row>
    <row r="196" spans="12:26" x14ac:dyDescent="0.5">
      <c r="L196" s="30"/>
      <c r="Y196" s="30"/>
      <c r="Z196" s="30"/>
    </row>
    <row r="197" spans="12:26" x14ac:dyDescent="0.5">
      <c r="L197" s="30"/>
      <c r="Y197" s="30"/>
      <c r="Z197" s="30"/>
    </row>
    <row r="198" spans="12:26" x14ac:dyDescent="0.5">
      <c r="L198" s="30"/>
      <c r="Y198" s="30"/>
      <c r="Z198" s="30"/>
    </row>
    <row r="199" spans="12:26" x14ac:dyDescent="0.5">
      <c r="L199" s="30"/>
      <c r="Y199" s="30"/>
      <c r="Z199" s="30"/>
    </row>
    <row r="200" spans="12:26" x14ac:dyDescent="0.5">
      <c r="L200" s="30"/>
      <c r="Y200" s="30"/>
      <c r="Z200" s="30"/>
    </row>
    <row r="201" spans="12:26" x14ac:dyDescent="0.5">
      <c r="L201" s="30"/>
      <c r="Y201" s="30"/>
      <c r="Z201" s="30"/>
    </row>
    <row r="202" spans="12:26" x14ac:dyDescent="0.5">
      <c r="L202" s="30"/>
      <c r="Y202" s="30"/>
      <c r="Z202" s="30"/>
    </row>
    <row r="203" spans="12:26" x14ac:dyDescent="0.5">
      <c r="L203" s="30"/>
      <c r="Y203" s="30"/>
      <c r="Z203" s="30"/>
    </row>
    <row r="204" spans="12:26" x14ac:dyDescent="0.5">
      <c r="L204" s="30"/>
      <c r="Y204" s="30"/>
      <c r="Z204" s="30"/>
    </row>
    <row r="205" spans="12:26" x14ac:dyDescent="0.5">
      <c r="L205" s="30"/>
      <c r="Y205" s="30"/>
      <c r="Z205" s="30"/>
    </row>
    <row r="206" spans="12:26" x14ac:dyDescent="0.5">
      <c r="L206" s="30"/>
      <c r="Y206" s="30"/>
      <c r="Z206" s="30"/>
    </row>
    <row r="207" spans="12:26" x14ac:dyDescent="0.5">
      <c r="L207" s="30"/>
      <c r="Y207" s="30"/>
      <c r="Z207" s="30"/>
    </row>
    <row r="208" spans="12:26" x14ac:dyDescent="0.5">
      <c r="L208" s="30"/>
      <c r="Y208" s="30"/>
      <c r="Z208" s="30"/>
    </row>
    <row r="209" spans="12:26" x14ac:dyDescent="0.5">
      <c r="L209" s="30"/>
      <c r="Y209" s="30"/>
      <c r="Z209" s="30"/>
    </row>
    <row r="210" spans="12:26" x14ac:dyDescent="0.5">
      <c r="L210" s="30"/>
      <c r="Y210" s="30"/>
      <c r="Z210" s="30"/>
    </row>
    <row r="211" spans="12:26" x14ac:dyDescent="0.5">
      <c r="L211" s="30"/>
      <c r="Y211" s="30"/>
      <c r="Z211" s="30"/>
    </row>
    <row r="212" spans="12:26" x14ac:dyDescent="0.5">
      <c r="L212" s="30"/>
      <c r="Y212" s="30"/>
      <c r="Z212" s="30"/>
    </row>
    <row r="213" spans="12:26" x14ac:dyDescent="0.5">
      <c r="L213" s="30"/>
      <c r="Y213" s="30"/>
      <c r="Z213" s="30"/>
    </row>
    <row r="214" spans="12:26" x14ac:dyDescent="0.5">
      <c r="L214" s="30"/>
      <c r="Y214" s="30"/>
      <c r="Z214" s="30"/>
    </row>
    <row r="215" spans="12:26" x14ac:dyDescent="0.5">
      <c r="L215" s="30"/>
      <c r="Y215" s="30"/>
      <c r="Z215" s="30"/>
    </row>
    <row r="216" spans="12:26" x14ac:dyDescent="0.5">
      <c r="L216" s="30"/>
      <c r="Y216" s="30"/>
      <c r="Z216" s="30"/>
    </row>
    <row r="217" spans="12:26" x14ac:dyDescent="0.5">
      <c r="L217" s="30"/>
      <c r="Y217" s="30"/>
      <c r="Z217" s="30"/>
    </row>
    <row r="218" spans="12:26" x14ac:dyDescent="0.5">
      <c r="L218" s="30"/>
      <c r="Y218" s="30"/>
      <c r="Z218" s="30"/>
    </row>
    <row r="219" spans="12:26" x14ac:dyDescent="0.5">
      <c r="L219" s="30"/>
      <c r="Y219" s="30"/>
      <c r="Z219" s="30"/>
    </row>
    <row r="220" spans="12:26" x14ac:dyDescent="0.5">
      <c r="L220" s="30"/>
      <c r="Y220" s="30"/>
      <c r="Z220" s="30"/>
    </row>
    <row r="221" spans="12:26" x14ac:dyDescent="0.5">
      <c r="L221" s="30"/>
      <c r="Y221" s="30"/>
      <c r="Z221" s="30"/>
    </row>
    <row r="222" spans="12:26" x14ac:dyDescent="0.5">
      <c r="L222" s="30"/>
      <c r="Y222" s="30"/>
      <c r="Z222" s="30"/>
    </row>
    <row r="223" spans="12:26" x14ac:dyDescent="0.5">
      <c r="L223" s="30"/>
      <c r="Y223" s="30"/>
      <c r="Z223" s="30"/>
    </row>
    <row r="224" spans="12:26" x14ac:dyDescent="0.5">
      <c r="L224" s="30"/>
      <c r="Y224" s="30"/>
      <c r="Z224" s="30"/>
    </row>
    <row r="225" spans="12:26" x14ac:dyDescent="0.5">
      <c r="L225" s="30"/>
      <c r="Y225" s="30"/>
      <c r="Z225" s="30"/>
    </row>
    <row r="226" spans="12:26" x14ac:dyDescent="0.5">
      <c r="L226" s="30"/>
      <c r="Y226" s="30"/>
      <c r="Z226" s="30"/>
    </row>
    <row r="227" spans="12:26" x14ac:dyDescent="0.5">
      <c r="L227" s="30"/>
      <c r="Y227" s="30"/>
      <c r="Z227" s="30"/>
    </row>
    <row r="228" spans="12:26" x14ac:dyDescent="0.5">
      <c r="L228" s="30"/>
      <c r="Y228" s="30"/>
      <c r="Z228" s="30"/>
    </row>
    <row r="229" spans="12:26" x14ac:dyDescent="0.5">
      <c r="L229" s="30"/>
      <c r="Y229" s="30"/>
      <c r="Z229" s="30"/>
    </row>
    <row r="230" spans="12:26" x14ac:dyDescent="0.5">
      <c r="L230" s="30"/>
      <c r="Y230" s="30"/>
      <c r="Z230" s="30"/>
    </row>
    <row r="231" spans="12:26" x14ac:dyDescent="0.5">
      <c r="L231" s="30"/>
      <c r="Y231" s="30"/>
      <c r="Z231" s="30"/>
    </row>
    <row r="232" spans="12:26" x14ac:dyDescent="0.5">
      <c r="L232" s="30"/>
      <c r="Y232" s="30"/>
      <c r="Z232" s="30"/>
    </row>
    <row r="233" spans="12:26" x14ac:dyDescent="0.5">
      <c r="L233" s="30"/>
      <c r="Y233" s="30"/>
      <c r="Z233" s="30"/>
    </row>
    <row r="234" spans="12:26" x14ac:dyDescent="0.5">
      <c r="L234" s="30"/>
      <c r="Y234" s="30"/>
      <c r="Z234" s="30"/>
    </row>
    <row r="235" spans="12:26" x14ac:dyDescent="0.5">
      <c r="L235" s="30"/>
      <c r="Y235" s="30"/>
      <c r="Z235" s="30"/>
    </row>
    <row r="236" spans="12:26" x14ac:dyDescent="0.5">
      <c r="L236" s="30"/>
      <c r="Y236" s="30"/>
      <c r="Z236" s="30"/>
    </row>
    <row r="237" spans="12:26" x14ac:dyDescent="0.5">
      <c r="L237" s="30"/>
      <c r="Y237" s="30"/>
      <c r="Z237" s="30"/>
    </row>
    <row r="238" spans="12:26" x14ac:dyDescent="0.5">
      <c r="L238" s="30"/>
      <c r="Y238" s="30"/>
      <c r="Z238" s="30"/>
    </row>
    <row r="239" spans="12:26" x14ac:dyDescent="0.5">
      <c r="L239" s="30"/>
      <c r="Y239" s="30"/>
      <c r="Z239" s="30"/>
    </row>
    <row r="240" spans="12:26" x14ac:dyDescent="0.5">
      <c r="L240" s="30"/>
      <c r="Y240" s="30"/>
      <c r="Z240" s="30"/>
    </row>
    <row r="241" spans="12:26" x14ac:dyDescent="0.5">
      <c r="L241" s="30"/>
      <c r="Y241" s="30"/>
      <c r="Z241" s="30"/>
    </row>
    <row r="242" spans="12:26" x14ac:dyDescent="0.5">
      <c r="L242" s="30"/>
      <c r="Y242" s="30"/>
      <c r="Z242" s="30"/>
    </row>
    <row r="243" spans="12:26" x14ac:dyDescent="0.5">
      <c r="L243" s="30"/>
      <c r="Y243" s="30"/>
      <c r="Z243" s="30"/>
    </row>
    <row r="244" spans="12:26" x14ac:dyDescent="0.5">
      <c r="L244" s="30"/>
      <c r="Y244" s="30"/>
      <c r="Z244" s="30"/>
    </row>
    <row r="245" spans="12:26" x14ac:dyDescent="0.5">
      <c r="L245" s="30"/>
      <c r="Y245" s="30"/>
      <c r="Z245" s="30"/>
    </row>
    <row r="246" spans="12:26" x14ac:dyDescent="0.5">
      <c r="L246" s="30"/>
      <c r="Y246" s="30"/>
      <c r="Z246" s="30"/>
    </row>
    <row r="247" spans="12:26" x14ac:dyDescent="0.5">
      <c r="L247" s="30"/>
      <c r="Y247" s="30"/>
      <c r="Z247" s="30"/>
    </row>
    <row r="248" spans="12:26" x14ac:dyDescent="0.5">
      <c r="L248" s="30"/>
      <c r="Y248" s="30"/>
      <c r="Z248" s="30"/>
    </row>
    <row r="249" spans="12:26" x14ac:dyDescent="0.5">
      <c r="L249" s="30"/>
      <c r="Y249" s="30"/>
      <c r="Z249" s="30"/>
    </row>
    <row r="250" spans="12:26" x14ac:dyDescent="0.5">
      <c r="L250" s="30"/>
      <c r="Y250" s="30"/>
      <c r="Z250" s="30"/>
    </row>
    <row r="251" spans="12:26" x14ac:dyDescent="0.5">
      <c r="L251" s="30"/>
      <c r="Y251" s="30"/>
      <c r="Z251" s="30"/>
    </row>
    <row r="252" spans="12:26" x14ac:dyDescent="0.5">
      <c r="L252" s="30"/>
      <c r="Y252" s="30"/>
      <c r="Z252" s="30"/>
    </row>
    <row r="253" spans="12:26" x14ac:dyDescent="0.5">
      <c r="L253" s="30"/>
      <c r="Y253" s="30"/>
      <c r="Z253" s="30"/>
    </row>
    <row r="254" spans="12:26" x14ac:dyDescent="0.5">
      <c r="L254" s="30"/>
      <c r="Y254" s="30"/>
      <c r="Z254" s="30"/>
    </row>
    <row r="255" spans="12:26" x14ac:dyDescent="0.5">
      <c r="L255" s="30"/>
      <c r="Y255" s="30"/>
      <c r="Z255" s="30"/>
    </row>
    <row r="256" spans="12:26" x14ac:dyDescent="0.5">
      <c r="L256" s="30"/>
      <c r="Y256" s="30"/>
      <c r="Z256" s="30"/>
    </row>
    <row r="257" spans="12:26" x14ac:dyDescent="0.5">
      <c r="L257" s="30"/>
      <c r="Y257" s="30"/>
      <c r="Z257" s="30"/>
    </row>
    <row r="258" spans="12:26" x14ac:dyDescent="0.5">
      <c r="L258" s="30"/>
      <c r="Y258" s="30"/>
      <c r="Z258" s="30"/>
    </row>
    <row r="259" spans="12:26" x14ac:dyDescent="0.5">
      <c r="L259" s="30"/>
      <c r="Y259" s="30"/>
      <c r="Z259" s="30"/>
    </row>
    <row r="260" spans="12:26" x14ac:dyDescent="0.5">
      <c r="L260" s="30"/>
      <c r="Y260" s="30"/>
      <c r="Z260" s="30"/>
    </row>
    <row r="261" spans="12:26" x14ac:dyDescent="0.5">
      <c r="L261" s="30"/>
      <c r="Y261" s="30"/>
      <c r="Z261" s="30"/>
    </row>
    <row r="262" spans="12:26" x14ac:dyDescent="0.5">
      <c r="L262" s="30"/>
      <c r="Y262" s="30"/>
      <c r="Z262" s="30"/>
    </row>
    <row r="263" spans="12:26" x14ac:dyDescent="0.5">
      <c r="L263" s="30"/>
      <c r="Y263" s="30"/>
      <c r="Z263" s="30"/>
    </row>
    <row r="264" spans="12:26" x14ac:dyDescent="0.5">
      <c r="L264" s="30"/>
      <c r="Y264" s="30"/>
      <c r="Z264" s="30"/>
    </row>
    <row r="265" spans="12:26" x14ac:dyDescent="0.5">
      <c r="L265" s="30"/>
      <c r="Y265" s="30"/>
      <c r="Z265" s="30"/>
    </row>
    <row r="266" spans="12:26" x14ac:dyDescent="0.5">
      <c r="L266" s="30"/>
      <c r="Y266" s="30"/>
      <c r="Z266" s="30"/>
    </row>
    <row r="267" spans="12:26" x14ac:dyDescent="0.5">
      <c r="L267" s="30"/>
      <c r="Y267" s="30"/>
      <c r="Z267" s="30"/>
    </row>
    <row r="268" spans="12:26" x14ac:dyDescent="0.5">
      <c r="L268" s="30"/>
      <c r="Y268" s="30"/>
      <c r="Z268" s="30"/>
    </row>
    <row r="269" spans="12:26" x14ac:dyDescent="0.5">
      <c r="L269" s="30"/>
      <c r="Y269" s="30"/>
      <c r="Z269" s="30"/>
    </row>
    <row r="270" spans="12:26" x14ac:dyDescent="0.5">
      <c r="L270" s="30"/>
      <c r="Y270" s="30"/>
      <c r="Z270" s="30"/>
    </row>
    <row r="271" spans="12:26" x14ac:dyDescent="0.5">
      <c r="L271" s="30"/>
      <c r="Y271" s="30"/>
      <c r="Z271" s="30"/>
    </row>
    <row r="272" spans="12:26" x14ac:dyDescent="0.5">
      <c r="L272" s="30"/>
      <c r="Y272" s="30"/>
      <c r="Z272" s="30"/>
    </row>
    <row r="273" spans="12:26" x14ac:dyDescent="0.5">
      <c r="L273" s="30"/>
      <c r="Y273" s="30"/>
      <c r="Z273" s="30"/>
    </row>
    <row r="274" spans="12:26" x14ac:dyDescent="0.5">
      <c r="L274" s="30"/>
      <c r="Y274" s="30"/>
      <c r="Z274" s="30"/>
    </row>
    <row r="275" spans="12:26" x14ac:dyDescent="0.5">
      <c r="L275" s="30"/>
      <c r="Y275" s="30"/>
      <c r="Z275" s="30"/>
    </row>
    <row r="276" spans="12:26" x14ac:dyDescent="0.5">
      <c r="L276" s="30"/>
      <c r="Y276" s="30"/>
      <c r="Z276" s="30"/>
    </row>
    <row r="277" spans="12:26" x14ac:dyDescent="0.5">
      <c r="L277" s="30"/>
      <c r="Y277" s="30"/>
      <c r="Z277" s="30"/>
    </row>
    <row r="278" spans="12:26" x14ac:dyDescent="0.5">
      <c r="L278" s="30"/>
      <c r="Y278" s="30"/>
      <c r="Z278" s="30"/>
    </row>
    <row r="279" spans="12:26" x14ac:dyDescent="0.5">
      <c r="L279" s="30"/>
      <c r="Y279" s="30"/>
      <c r="Z279" s="30"/>
    </row>
    <row r="280" spans="12:26" x14ac:dyDescent="0.5">
      <c r="L280" s="30"/>
      <c r="Y280" s="30"/>
      <c r="Z280" s="30"/>
    </row>
    <row r="281" spans="12:26" x14ac:dyDescent="0.5">
      <c r="L281" s="30"/>
      <c r="Y281" s="30"/>
      <c r="Z281" s="30"/>
    </row>
    <row r="282" spans="12:26" x14ac:dyDescent="0.5">
      <c r="L282" s="30"/>
      <c r="Y282" s="30"/>
      <c r="Z282" s="30"/>
    </row>
    <row r="283" spans="12:26" x14ac:dyDescent="0.5">
      <c r="L283" s="30"/>
      <c r="Y283" s="30"/>
      <c r="Z283" s="30"/>
    </row>
    <row r="284" spans="12:26" x14ac:dyDescent="0.5">
      <c r="L284" s="30"/>
      <c r="Y284" s="30"/>
      <c r="Z284" s="30"/>
    </row>
    <row r="285" spans="12:26" x14ac:dyDescent="0.5">
      <c r="L285" s="30"/>
      <c r="Y285" s="30"/>
      <c r="Z285" s="30"/>
    </row>
    <row r="286" spans="12:26" x14ac:dyDescent="0.5">
      <c r="L286" s="30"/>
      <c r="Y286" s="30"/>
      <c r="Z286" s="30"/>
    </row>
    <row r="287" spans="12:26" x14ac:dyDescent="0.5">
      <c r="L287" s="30"/>
      <c r="Y287" s="30"/>
      <c r="Z287" s="30"/>
    </row>
    <row r="288" spans="12:26" x14ac:dyDescent="0.5">
      <c r="L288" s="30"/>
      <c r="Y288" s="30"/>
      <c r="Z288" s="30"/>
    </row>
    <row r="289" spans="12:26" x14ac:dyDescent="0.5">
      <c r="L289" s="30"/>
      <c r="Y289" s="30"/>
      <c r="Z289" s="30"/>
    </row>
    <row r="290" spans="12:26" x14ac:dyDescent="0.5">
      <c r="L290" s="30"/>
      <c r="Y290" s="30"/>
      <c r="Z290" s="30"/>
    </row>
    <row r="291" spans="12:26" x14ac:dyDescent="0.5">
      <c r="L291" s="30"/>
      <c r="Y291" s="30"/>
      <c r="Z291" s="30"/>
    </row>
    <row r="292" spans="12:26" x14ac:dyDescent="0.5">
      <c r="L292" s="30"/>
      <c r="Y292" s="30"/>
      <c r="Z292" s="30"/>
    </row>
    <row r="293" spans="12:26" x14ac:dyDescent="0.5">
      <c r="L293" s="30"/>
      <c r="Y293" s="30"/>
      <c r="Z293" s="30"/>
    </row>
    <row r="294" spans="12:26" x14ac:dyDescent="0.5">
      <c r="L294" s="30"/>
      <c r="Y294" s="30"/>
      <c r="Z294" s="30"/>
    </row>
    <row r="295" spans="12:26" x14ac:dyDescent="0.5">
      <c r="L295" s="30"/>
      <c r="Y295" s="30"/>
      <c r="Z295" s="30"/>
    </row>
    <row r="296" spans="12:26" x14ac:dyDescent="0.5">
      <c r="L296" s="30"/>
      <c r="Y296" s="30"/>
      <c r="Z296" s="30"/>
    </row>
    <row r="297" spans="12:26" x14ac:dyDescent="0.5">
      <c r="L297" s="30"/>
      <c r="Y297" s="30"/>
      <c r="Z297" s="30"/>
    </row>
    <row r="298" spans="12:26" x14ac:dyDescent="0.5">
      <c r="L298" s="30"/>
      <c r="Y298" s="30"/>
      <c r="Z298" s="30"/>
    </row>
    <row r="299" spans="12:26" x14ac:dyDescent="0.5">
      <c r="L299" s="30"/>
      <c r="Y299" s="30"/>
      <c r="Z299" s="30"/>
    </row>
    <row r="300" spans="12:26" x14ac:dyDescent="0.5">
      <c r="L300" s="30"/>
      <c r="Y300" s="30"/>
      <c r="Z300" s="30"/>
    </row>
    <row r="301" spans="12:26" x14ac:dyDescent="0.5">
      <c r="L301" s="30"/>
      <c r="Y301" s="30"/>
      <c r="Z301" s="30"/>
    </row>
    <row r="302" spans="12:26" x14ac:dyDescent="0.5">
      <c r="L302" s="30"/>
      <c r="Y302" s="30"/>
      <c r="Z302" s="30"/>
    </row>
    <row r="303" spans="12:26" x14ac:dyDescent="0.5">
      <c r="L303" s="30"/>
      <c r="Y303" s="30"/>
      <c r="Z303" s="30"/>
    </row>
    <row r="304" spans="12:26" x14ac:dyDescent="0.5">
      <c r="L304" s="30"/>
      <c r="Y304" s="30"/>
      <c r="Z304" s="30"/>
    </row>
    <row r="305" spans="12:26" x14ac:dyDescent="0.5">
      <c r="L305" s="30"/>
      <c r="Y305" s="30"/>
      <c r="Z305" s="30"/>
    </row>
    <row r="306" spans="12:26" x14ac:dyDescent="0.5">
      <c r="L306" s="30"/>
      <c r="Y306" s="30"/>
      <c r="Z306" s="30"/>
    </row>
    <row r="307" spans="12:26" x14ac:dyDescent="0.5">
      <c r="L307" s="30"/>
      <c r="Y307" s="30"/>
      <c r="Z307" s="30"/>
    </row>
    <row r="308" spans="12:26" x14ac:dyDescent="0.5">
      <c r="L308" s="30"/>
      <c r="Y308" s="30"/>
      <c r="Z308" s="30"/>
    </row>
    <row r="309" spans="12:26" x14ac:dyDescent="0.5">
      <c r="L309" s="30"/>
      <c r="Y309" s="30"/>
      <c r="Z309" s="30"/>
    </row>
    <row r="310" spans="12:26" x14ac:dyDescent="0.5">
      <c r="L310" s="30"/>
      <c r="Y310" s="30"/>
      <c r="Z310" s="30"/>
    </row>
    <row r="311" spans="12:26" x14ac:dyDescent="0.5">
      <c r="L311" s="30"/>
      <c r="Y311" s="30"/>
      <c r="Z311" s="30"/>
    </row>
    <row r="312" spans="12:26" x14ac:dyDescent="0.5">
      <c r="L312" s="30"/>
      <c r="Y312" s="30"/>
      <c r="Z312" s="30"/>
    </row>
    <row r="313" spans="12:26" x14ac:dyDescent="0.5">
      <c r="L313" s="30"/>
      <c r="Y313" s="30"/>
      <c r="Z313" s="30"/>
    </row>
    <row r="314" spans="12:26" x14ac:dyDescent="0.5">
      <c r="L314" s="30"/>
      <c r="Y314" s="30"/>
      <c r="Z314" s="30"/>
    </row>
    <row r="315" spans="12:26" x14ac:dyDescent="0.5">
      <c r="L315" s="30"/>
      <c r="Y315" s="30"/>
      <c r="Z315" s="30"/>
    </row>
    <row r="316" spans="12:26" x14ac:dyDescent="0.5">
      <c r="L316" s="30"/>
      <c r="Y316" s="30"/>
      <c r="Z316" s="30"/>
    </row>
    <row r="317" spans="12:26" x14ac:dyDescent="0.5">
      <c r="L317" s="30"/>
      <c r="Y317" s="30"/>
      <c r="Z317" s="30"/>
    </row>
    <row r="318" spans="12:26" x14ac:dyDescent="0.5">
      <c r="L318" s="30"/>
      <c r="Y318" s="30"/>
      <c r="Z318" s="30"/>
    </row>
    <row r="319" spans="12:26" x14ac:dyDescent="0.5">
      <c r="L319" s="30"/>
      <c r="Y319" s="30"/>
      <c r="Z319" s="30"/>
    </row>
    <row r="320" spans="12:26" x14ac:dyDescent="0.5">
      <c r="L320" s="30"/>
      <c r="Y320" s="30"/>
      <c r="Z320" s="30"/>
    </row>
    <row r="321" spans="12:26" x14ac:dyDescent="0.5">
      <c r="L321" s="30"/>
      <c r="Y321" s="30"/>
      <c r="Z321" s="30"/>
    </row>
    <row r="322" spans="12:26" x14ac:dyDescent="0.5">
      <c r="L322" s="30"/>
      <c r="Y322" s="30"/>
      <c r="Z322" s="30"/>
    </row>
    <row r="323" spans="12:26" x14ac:dyDescent="0.5">
      <c r="L323" s="30"/>
      <c r="Y323" s="30"/>
      <c r="Z323" s="30"/>
    </row>
    <row r="324" spans="12:26" x14ac:dyDescent="0.5">
      <c r="L324" s="30"/>
      <c r="Y324" s="30"/>
      <c r="Z324" s="30"/>
    </row>
    <row r="325" spans="12:26" x14ac:dyDescent="0.5">
      <c r="L325" s="30"/>
      <c r="Y325" s="30"/>
      <c r="Z325" s="30"/>
    </row>
    <row r="326" spans="12:26" x14ac:dyDescent="0.5">
      <c r="L326" s="30"/>
      <c r="Y326" s="30"/>
      <c r="Z326" s="30"/>
    </row>
    <row r="327" spans="12:26" x14ac:dyDescent="0.5">
      <c r="L327" s="30"/>
      <c r="Y327" s="30"/>
      <c r="Z327" s="30"/>
    </row>
    <row r="328" spans="12:26" x14ac:dyDescent="0.5">
      <c r="L328" s="30"/>
      <c r="Y328" s="30"/>
      <c r="Z328" s="30"/>
    </row>
    <row r="329" spans="12:26" x14ac:dyDescent="0.5">
      <c r="L329" s="30"/>
      <c r="Y329" s="30"/>
      <c r="Z329" s="30"/>
    </row>
    <row r="330" spans="12:26" x14ac:dyDescent="0.5">
      <c r="L330" s="30"/>
      <c r="Y330" s="30"/>
      <c r="Z330" s="30"/>
    </row>
    <row r="331" spans="12:26" x14ac:dyDescent="0.5">
      <c r="L331" s="30"/>
      <c r="Y331" s="30"/>
      <c r="Z331" s="30"/>
    </row>
    <row r="332" spans="12:26" x14ac:dyDescent="0.5">
      <c r="L332" s="30"/>
      <c r="Y332" s="30"/>
      <c r="Z332" s="30"/>
    </row>
    <row r="333" spans="12:26" x14ac:dyDescent="0.5">
      <c r="L333" s="30"/>
      <c r="Y333" s="30"/>
      <c r="Z333" s="30"/>
    </row>
    <row r="334" spans="12:26" x14ac:dyDescent="0.5">
      <c r="L334" s="30"/>
      <c r="Y334" s="30"/>
      <c r="Z334" s="30"/>
    </row>
    <row r="335" spans="12:26" x14ac:dyDescent="0.5">
      <c r="L335" s="30"/>
      <c r="Y335" s="30"/>
      <c r="Z335" s="30"/>
    </row>
    <row r="336" spans="12:26" x14ac:dyDescent="0.5">
      <c r="L336" s="30"/>
      <c r="Y336" s="30"/>
      <c r="Z336" s="30"/>
    </row>
    <row r="337" spans="12:26" x14ac:dyDescent="0.5">
      <c r="L337" s="30"/>
      <c r="Y337" s="30"/>
      <c r="Z337" s="30"/>
    </row>
    <row r="338" spans="12:26" x14ac:dyDescent="0.5">
      <c r="L338" s="30"/>
      <c r="Y338" s="30"/>
      <c r="Z338" s="30"/>
    </row>
    <row r="339" spans="12:26" x14ac:dyDescent="0.5">
      <c r="L339" s="30"/>
      <c r="Y339" s="30"/>
      <c r="Z339" s="30"/>
    </row>
    <row r="340" spans="12:26" x14ac:dyDescent="0.5">
      <c r="L340" s="30"/>
      <c r="Y340" s="30"/>
      <c r="Z340" s="30"/>
    </row>
    <row r="341" spans="12:26" x14ac:dyDescent="0.5">
      <c r="L341" s="30"/>
      <c r="Y341" s="30"/>
      <c r="Z341" s="30"/>
    </row>
    <row r="342" spans="12:26" x14ac:dyDescent="0.5">
      <c r="L342" s="30"/>
      <c r="Y342" s="30"/>
      <c r="Z342" s="30"/>
    </row>
    <row r="343" spans="12:26" x14ac:dyDescent="0.5">
      <c r="L343" s="30"/>
      <c r="Y343" s="30"/>
      <c r="Z343" s="30"/>
    </row>
    <row r="344" spans="12:26" x14ac:dyDescent="0.5">
      <c r="L344" s="30"/>
      <c r="Y344" s="30"/>
      <c r="Z344" s="30"/>
    </row>
    <row r="345" spans="12:26" x14ac:dyDescent="0.5">
      <c r="L345" s="30"/>
      <c r="Y345" s="30"/>
      <c r="Z345" s="30"/>
    </row>
    <row r="346" spans="12:26" x14ac:dyDescent="0.5">
      <c r="L346" s="30"/>
      <c r="Y346" s="30"/>
      <c r="Z346" s="30"/>
    </row>
    <row r="347" spans="12:26" x14ac:dyDescent="0.5">
      <c r="L347" s="30"/>
      <c r="Y347" s="30"/>
      <c r="Z347" s="30"/>
    </row>
    <row r="348" spans="12:26" x14ac:dyDescent="0.5">
      <c r="L348" s="30"/>
      <c r="Y348" s="30"/>
      <c r="Z348" s="30"/>
    </row>
    <row r="349" spans="12:26" x14ac:dyDescent="0.5">
      <c r="L349" s="30"/>
      <c r="Y349" s="30"/>
      <c r="Z349" s="30"/>
    </row>
    <row r="350" spans="12:26" x14ac:dyDescent="0.5">
      <c r="L350" s="30"/>
      <c r="Y350" s="30"/>
      <c r="Z350" s="30"/>
    </row>
    <row r="351" spans="12:26" x14ac:dyDescent="0.5">
      <c r="L351" s="30"/>
      <c r="Y351" s="30"/>
      <c r="Z351" s="30"/>
    </row>
    <row r="352" spans="12:26" x14ac:dyDescent="0.5">
      <c r="L352" s="30"/>
      <c r="Y352" s="30"/>
      <c r="Z352" s="30"/>
    </row>
    <row r="353" spans="12:26" x14ac:dyDescent="0.5">
      <c r="L353" s="30"/>
      <c r="Y353" s="30"/>
      <c r="Z353" s="30"/>
    </row>
    <row r="354" spans="12:26" x14ac:dyDescent="0.5">
      <c r="L354" s="30"/>
      <c r="Y354" s="30"/>
      <c r="Z354" s="30"/>
    </row>
    <row r="355" spans="12:26" x14ac:dyDescent="0.5">
      <c r="L355" s="30"/>
      <c r="Y355" s="30"/>
      <c r="Z355" s="30"/>
    </row>
    <row r="356" spans="12:26" x14ac:dyDescent="0.5">
      <c r="L356" s="30"/>
      <c r="Y356" s="30"/>
      <c r="Z356" s="30"/>
    </row>
    <row r="357" spans="12:26" x14ac:dyDescent="0.5">
      <c r="L357" s="30"/>
      <c r="Y357" s="30"/>
      <c r="Z357" s="30"/>
    </row>
    <row r="358" spans="12:26" x14ac:dyDescent="0.5">
      <c r="L358" s="30"/>
      <c r="Y358" s="30"/>
      <c r="Z358" s="30"/>
    </row>
    <row r="359" spans="12:26" x14ac:dyDescent="0.5">
      <c r="L359" s="30"/>
      <c r="Y359" s="30"/>
      <c r="Z359" s="30"/>
    </row>
    <row r="360" spans="12:26" x14ac:dyDescent="0.5">
      <c r="L360" s="30"/>
      <c r="Y360" s="30"/>
      <c r="Z360" s="30"/>
    </row>
    <row r="361" spans="12:26" x14ac:dyDescent="0.5">
      <c r="L361" s="30"/>
      <c r="Y361" s="30"/>
      <c r="Z361" s="30"/>
    </row>
    <row r="362" spans="12:26" x14ac:dyDescent="0.5">
      <c r="L362" s="30"/>
      <c r="Y362" s="30"/>
      <c r="Z362" s="30"/>
    </row>
    <row r="363" spans="12:26" x14ac:dyDescent="0.5">
      <c r="L363" s="30"/>
      <c r="Y363" s="30"/>
      <c r="Z363" s="30"/>
    </row>
    <row r="364" spans="12:26" x14ac:dyDescent="0.5">
      <c r="L364" s="30"/>
      <c r="Y364" s="30"/>
      <c r="Z364" s="30"/>
    </row>
    <row r="365" spans="12:26" x14ac:dyDescent="0.5">
      <c r="L365" s="30"/>
      <c r="Y365" s="30"/>
      <c r="Z365" s="30"/>
    </row>
    <row r="366" spans="12:26" x14ac:dyDescent="0.5">
      <c r="L366" s="30"/>
      <c r="Y366" s="30"/>
      <c r="Z366" s="30"/>
    </row>
    <row r="367" spans="12:26" x14ac:dyDescent="0.5">
      <c r="L367" s="30"/>
      <c r="Y367" s="30"/>
      <c r="Z367" s="30"/>
    </row>
    <row r="368" spans="12:26" x14ac:dyDescent="0.5">
      <c r="L368" s="30"/>
      <c r="Y368" s="30"/>
      <c r="Z368" s="30"/>
    </row>
    <row r="369" spans="12:26" x14ac:dyDescent="0.5">
      <c r="L369" s="30"/>
      <c r="Y369" s="30"/>
      <c r="Z369" s="30"/>
    </row>
    <row r="370" spans="12:26" x14ac:dyDescent="0.5">
      <c r="L370" s="30"/>
      <c r="Y370" s="30"/>
      <c r="Z370" s="30"/>
    </row>
    <row r="371" spans="12:26" x14ac:dyDescent="0.5">
      <c r="L371" s="30"/>
      <c r="Y371" s="30"/>
      <c r="Z371" s="30"/>
    </row>
    <row r="372" spans="12:26" x14ac:dyDescent="0.5">
      <c r="L372" s="30"/>
      <c r="Y372" s="30"/>
      <c r="Z372" s="30"/>
    </row>
    <row r="373" spans="12:26" x14ac:dyDescent="0.5">
      <c r="L373" s="30"/>
      <c r="Y373" s="30"/>
      <c r="Z373" s="30"/>
    </row>
    <row r="374" spans="12:26" x14ac:dyDescent="0.5">
      <c r="L374" s="30"/>
      <c r="Y374" s="30"/>
      <c r="Z374" s="30"/>
    </row>
    <row r="375" spans="12:26" x14ac:dyDescent="0.5">
      <c r="L375" s="30"/>
      <c r="Y375" s="30"/>
      <c r="Z375" s="30"/>
    </row>
    <row r="376" spans="12:26" x14ac:dyDescent="0.5">
      <c r="L376" s="30"/>
      <c r="Y376" s="30"/>
      <c r="Z376" s="30"/>
    </row>
    <row r="377" spans="12:26" x14ac:dyDescent="0.5">
      <c r="L377" s="30"/>
      <c r="Y377" s="30"/>
      <c r="Z377" s="30"/>
    </row>
    <row r="378" spans="12:26" x14ac:dyDescent="0.5">
      <c r="L378" s="30"/>
      <c r="Y378" s="30"/>
      <c r="Z378" s="30"/>
    </row>
    <row r="379" spans="12:26" x14ac:dyDescent="0.5">
      <c r="L379" s="30"/>
      <c r="Y379" s="30"/>
      <c r="Z379" s="30"/>
    </row>
    <row r="380" spans="12:26" x14ac:dyDescent="0.5">
      <c r="L380" s="30"/>
      <c r="Y380" s="30"/>
      <c r="Z380" s="30"/>
    </row>
    <row r="381" spans="12:26" x14ac:dyDescent="0.5">
      <c r="L381" s="30"/>
      <c r="Y381" s="30"/>
      <c r="Z381" s="30"/>
    </row>
    <row r="382" spans="12:26" x14ac:dyDescent="0.5">
      <c r="L382" s="30"/>
      <c r="Y382" s="30"/>
      <c r="Z382" s="30"/>
    </row>
    <row r="383" spans="12:26" x14ac:dyDescent="0.5">
      <c r="L383" s="30"/>
      <c r="Y383" s="30"/>
      <c r="Z383" s="30"/>
    </row>
    <row r="384" spans="12:26" x14ac:dyDescent="0.5">
      <c r="L384" s="30"/>
      <c r="Y384" s="30"/>
      <c r="Z384" s="30"/>
    </row>
    <row r="385" spans="12:26" x14ac:dyDescent="0.5">
      <c r="L385" s="30"/>
      <c r="Y385" s="30"/>
      <c r="Z385" s="30"/>
    </row>
    <row r="386" spans="12:26" x14ac:dyDescent="0.5">
      <c r="L386" s="30"/>
      <c r="Y386" s="30"/>
      <c r="Z386" s="30"/>
    </row>
    <row r="387" spans="12:26" x14ac:dyDescent="0.5">
      <c r="L387" s="30"/>
      <c r="Y387" s="30"/>
      <c r="Z387" s="30"/>
    </row>
    <row r="388" spans="12:26" x14ac:dyDescent="0.5">
      <c r="L388" s="30"/>
      <c r="Y388" s="30"/>
      <c r="Z388" s="30"/>
    </row>
    <row r="389" spans="12:26" x14ac:dyDescent="0.5">
      <c r="L389" s="30"/>
      <c r="Y389" s="30"/>
      <c r="Z389" s="30"/>
    </row>
    <row r="390" spans="12:26" x14ac:dyDescent="0.5">
      <c r="L390" s="30"/>
      <c r="Y390" s="30"/>
      <c r="Z390" s="30"/>
    </row>
    <row r="391" spans="12:26" x14ac:dyDescent="0.5">
      <c r="L391" s="30"/>
      <c r="Y391" s="30"/>
      <c r="Z391" s="30"/>
    </row>
    <row r="392" spans="12:26" x14ac:dyDescent="0.5">
      <c r="L392" s="30"/>
      <c r="Y392" s="30"/>
      <c r="Z392" s="30"/>
    </row>
    <row r="393" spans="12:26" x14ac:dyDescent="0.5">
      <c r="L393" s="30"/>
      <c r="Y393" s="30"/>
      <c r="Z393" s="30"/>
    </row>
    <row r="394" spans="12:26" x14ac:dyDescent="0.5">
      <c r="L394" s="30"/>
      <c r="Y394" s="30"/>
      <c r="Z394" s="30"/>
    </row>
    <row r="395" spans="12:26" x14ac:dyDescent="0.5">
      <c r="L395" s="30"/>
      <c r="Y395" s="30"/>
      <c r="Z395" s="30"/>
    </row>
    <row r="396" spans="12:26" x14ac:dyDescent="0.5">
      <c r="L396" s="30"/>
      <c r="Y396" s="30"/>
      <c r="Z396" s="30"/>
    </row>
    <row r="397" spans="12:26" x14ac:dyDescent="0.5">
      <c r="L397" s="30"/>
      <c r="Y397" s="30"/>
      <c r="Z397" s="30"/>
    </row>
    <row r="398" spans="12:26" x14ac:dyDescent="0.5">
      <c r="L398" s="30"/>
      <c r="Y398" s="30"/>
      <c r="Z398" s="30"/>
    </row>
    <row r="399" spans="12:26" x14ac:dyDescent="0.5">
      <c r="L399" s="30"/>
      <c r="Y399" s="30"/>
      <c r="Z399" s="30"/>
    </row>
    <row r="400" spans="12:26" x14ac:dyDescent="0.5">
      <c r="L400" s="30"/>
      <c r="Y400" s="30"/>
      <c r="Z400" s="30"/>
    </row>
    <row r="401" spans="12:26" x14ac:dyDescent="0.5">
      <c r="L401" s="30"/>
      <c r="Y401" s="30"/>
      <c r="Z401" s="30"/>
    </row>
    <row r="402" spans="12:26" x14ac:dyDescent="0.5">
      <c r="L402" s="30"/>
      <c r="Y402" s="30"/>
      <c r="Z402" s="30"/>
    </row>
    <row r="403" spans="12:26" x14ac:dyDescent="0.5">
      <c r="L403" s="30"/>
      <c r="Y403" s="30"/>
      <c r="Z403" s="30"/>
    </row>
    <row r="404" spans="12:26" x14ac:dyDescent="0.5">
      <c r="L404" s="30"/>
      <c r="Y404" s="30"/>
      <c r="Z404" s="30"/>
    </row>
    <row r="405" spans="12:26" x14ac:dyDescent="0.5">
      <c r="L405" s="30"/>
      <c r="Y405" s="30"/>
      <c r="Z405" s="30"/>
    </row>
    <row r="406" spans="12:26" x14ac:dyDescent="0.5">
      <c r="L406" s="30"/>
      <c r="Y406" s="30"/>
      <c r="Z406" s="30"/>
    </row>
    <row r="407" spans="12:26" x14ac:dyDescent="0.5">
      <c r="L407" s="30"/>
      <c r="Y407" s="30"/>
      <c r="Z407" s="30"/>
    </row>
    <row r="408" spans="12:26" x14ac:dyDescent="0.5">
      <c r="L408" s="30"/>
      <c r="Y408" s="30"/>
      <c r="Z408" s="30"/>
    </row>
    <row r="409" spans="12:26" x14ac:dyDescent="0.5">
      <c r="L409" s="30"/>
      <c r="Y409" s="30"/>
      <c r="Z409" s="30"/>
    </row>
    <row r="410" spans="12:26" x14ac:dyDescent="0.5">
      <c r="L410" s="30"/>
      <c r="Y410" s="30"/>
      <c r="Z410" s="30"/>
    </row>
    <row r="411" spans="12:26" x14ac:dyDescent="0.5">
      <c r="L411" s="30"/>
      <c r="Y411" s="30"/>
      <c r="Z411" s="30"/>
    </row>
    <row r="412" spans="12:26" x14ac:dyDescent="0.5">
      <c r="L412" s="30"/>
      <c r="Y412" s="30"/>
      <c r="Z412" s="30"/>
    </row>
    <row r="413" spans="12:26" x14ac:dyDescent="0.5">
      <c r="L413" s="30"/>
      <c r="Y413" s="30"/>
      <c r="Z413" s="30"/>
    </row>
    <row r="414" spans="12:26" x14ac:dyDescent="0.5">
      <c r="L414" s="30"/>
      <c r="Y414" s="30"/>
      <c r="Z414" s="30"/>
    </row>
    <row r="415" spans="12:26" x14ac:dyDescent="0.5">
      <c r="L415" s="30"/>
      <c r="Y415" s="30"/>
      <c r="Z415" s="30"/>
    </row>
    <row r="416" spans="12:26" x14ac:dyDescent="0.5">
      <c r="L416" s="30"/>
      <c r="Y416" s="30"/>
      <c r="Z416" s="30"/>
    </row>
    <row r="417" spans="12:26" x14ac:dyDescent="0.5">
      <c r="L417" s="30"/>
      <c r="Y417" s="30"/>
      <c r="Z417" s="30"/>
    </row>
    <row r="418" spans="12:26" x14ac:dyDescent="0.5">
      <c r="L418" s="30"/>
      <c r="Y418" s="30"/>
      <c r="Z418" s="30"/>
    </row>
    <row r="419" spans="12:26" x14ac:dyDescent="0.5">
      <c r="L419" s="30"/>
      <c r="Y419" s="30"/>
      <c r="Z419" s="30"/>
    </row>
    <row r="420" spans="12:26" x14ac:dyDescent="0.5">
      <c r="L420" s="30"/>
      <c r="Y420" s="30"/>
      <c r="Z420" s="30"/>
    </row>
    <row r="421" spans="12:26" x14ac:dyDescent="0.5">
      <c r="L421" s="30"/>
      <c r="Y421" s="30"/>
      <c r="Z421" s="30"/>
    </row>
    <row r="422" spans="12:26" x14ac:dyDescent="0.5">
      <c r="L422" s="30"/>
      <c r="Y422" s="30"/>
      <c r="Z422" s="30"/>
    </row>
    <row r="423" spans="12:26" x14ac:dyDescent="0.5">
      <c r="L423" s="30"/>
      <c r="Y423" s="30"/>
      <c r="Z423" s="30"/>
    </row>
    <row r="424" spans="12:26" x14ac:dyDescent="0.5">
      <c r="L424" s="30"/>
      <c r="Y424" s="30"/>
      <c r="Z424" s="30"/>
    </row>
    <row r="425" spans="12:26" x14ac:dyDescent="0.5">
      <c r="L425" s="30"/>
      <c r="Y425" s="30"/>
      <c r="Z425" s="30"/>
    </row>
    <row r="426" spans="12:26" x14ac:dyDescent="0.5">
      <c r="L426" s="30"/>
      <c r="Y426" s="30"/>
      <c r="Z426" s="30"/>
    </row>
    <row r="427" spans="12:26" x14ac:dyDescent="0.5">
      <c r="L427" s="30"/>
      <c r="Y427" s="30"/>
      <c r="Z427" s="30"/>
    </row>
    <row r="428" spans="12:26" x14ac:dyDescent="0.5">
      <c r="L428" s="30"/>
      <c r="Y428" s="30"/>
      <c r="Z428" s="30"/>
    </row>
    <row r="429" spans="12:26" x14ac:dyDescent="0.5">
      <c r="L429" s="30"/>
      <c r="Y429" s="30"/>
      <c r="Z429" s="30"/>
    </row>
    <row r="430" spans="12:26" x14ac:dyDescent="0.5">
      <c r="L430" s="30"/>
      <c r="Y430" s="30"/>
      <c r="Z430" s="30"/>
    </row>
    <row r="431" spans="12:26" x14ac:dyDescent="0.5">
      <c r="L431" s="30"/>
      <c r="Y431" s="30"/>
      <c r="Z431" s="30"/>
    </row>
    <row r="432" spans="12:26" x14ac:dyDescent="0.5">
      <c r="L432" s="30"/>
      <c r="Y432" s="30"/>
      <c r="Z432" s="30"/>
    </row>
    <row r="433" spans="12:26" x14ac:dyDescent="0.5">
      <c r="L433" s="30"/>
      <c r="Y433" s="30"/>
      <c r="Z433" s="30"/>
    </row>
    <row r="434" spans="12:26" x14ac:dyDescent="0.5">
      <c r="L434" s="30"/>
      <c r="Y434" s="30"/>
      <c r="Z434" s="30"/>
    </row>
    <row r="435" spans="12:26" x14ac:dyDescent="0.5">
      <c r="L435" s="30"/>
      <c r="Y435" s="30"/>
      <c r="Z435" s="30"/>
    </row>
    <row r="436" spans="12:26" x14ac:dyDescent="0.5">
      <c r="L436" s="30"/>
      <c r="Y436" s="30"/>
      <c r="Z436" s="30"/>
    </row>
    <row r="437" spans="12:26" x14ac:dyDescent="0.5">
      <c r="L437" s="30"/>
      <c r="Y437" s="30"/>
      <c r="Z437" s="30"/>
    </row>
    <row r="438" spans="12:26" x14ac:dyDescent="0.5">
      <c r="L438" s="30"/>
      <c r="Y438" s="30"/>
      <c r="Z438" s="30"/>
    </row>
    <row r="439" spans="12:26" x14ac:dyDescent="0.5">
      <c r="L439" s="30"/>
      <c r="Y439" s="30"/>
      <c r="Z439" s="30"/>
    </row>
    <row r="440" spans="12:26" x14ac:dyDescent="0.5">
      <c r="L440" s="30"/>
      <c r="Y440" s="30"/>
      <c r="Z440" s="30"/>
    </row>
    <row r="441" spans="12:26" x14ac:dyDescent="0.5">
      <c r="L441" s="30"/>
      <c r="Y441" s="30"/>
      <c r="Z441" s="30"/>
    </row>
    <row r="442" spans="12:26" x14ac:dyDescent="0.5">
      <c r="L442" s="30"/>
      <c r="Y442" s="30"/>
      <c r="Z442" s="30"/>
    </row>
    <row r="443" spans="12:26" x14ac:dyDescent="0.5">
      <c r="L443" s="30"/>
      <c r="Y443" s="30"/>
      <c r="Z443" s="30"/>
    </row>
    <row r="444" spans="12:26" x14ac:dyDescent="0.5">
      <c r="L444" s="30"/>
      <c r="Y444" s="30"/>
      <c r="Z444" s="30"/>
    </row>
    <row r="445" spans="12:26" x14ac:dyDescent="0.5">
      <c r="L445" s="30"/>
      <c r="Y445" s="30"/>
      <c r="Z445" s="30"/>
    </row>
    <row r="446" spans="12:26" x14ac:dyDescent="0.5">
      <c r="L446" s="30"/>
      <c r="Y446" s="30"/>
      <c r="Z446" s="30"/>
    </row>
    <row r="447" spans="12:26" x14ac:dyDescent="0.5">
      <c r="L447" s="30"/>
      <c r="Y447" s="30"/>
      <c r="Z447" s="30"/>
    </row>
    <row r="448" spans="12:26" x14ac:dyDescent="0.5">
      <c r="L448" s="30"/>
      <c r="Y448" s="30"/>
      <c r="Z448" s="30"/>
    </row>
    <row r="449" spans="12:26" x14ac:dyDescent="0.5">
      <c r="L449" s="30"/>
      <c r="Y449" s="30"/>
      <c r="Z449" s="30"/>
    </row>
    <row r="450" spans="12:26" x14ac:dyDescent="0.5">
      <c r="L450" s="30"/>
      <c r="Y450" s="30"/>
      <c r="Z450" s="30"/>
    </row>
    <row r="451" spans="12:26" x14ac:dyDescent="0.5">
      <c r="L451" s="30"/>
      <c r="Y451" s="30"/>
      <c r="Z451" s="30"/>
    </row>
    <row r="452" spans="12:26" x14ac:dyDescent="0.5">
      <c r="L452" s="30"/>
      <c r="Y452" s="30"/>
      <c r="Z452" s="30"/>
    </row>
    <row r="453" spans="12:26" x14ac:dyDescent="0.5">
      <c r="L453" s="30"/>
      <c r="Y453" s="30"/>
      <c r="Z453" s="30"/>
    </row>
    <row r="454" spans="12:26" x14ac:dyDescent="0.5">
      <c r="L454" s="30"/>
      <c r="Y454" s="30"/>
      <c r="Z454" s="30"/>
    </row>
    <row r="455" spans="12:26" x14ac:dyDescent="0.5">
      <c r="L455" s="30"/>
      <c r="Y455" s="30"/>
      <c r="Z455" s="30"/>
    </row>
    <row r="456" spans="12:26" x14ac:dyDescent="0.5">
      <c r="L456" s="30"/>
      <c r="Y456" s="30"/>
      <c r="Z456" s="30"/>
    </row>
    <row r="457" spans="12:26" x14ac:dyDescent="0.5">
      <c r="L457" s="30"/>
      <c r="Y457" s="30"/>
      <c r="Z457" s="30"/>
    </row>
    <row r="458" spans="12:26" x14ac:dyDescent="0.5">
      <c r="L458" s="30"/>
      <c r="Y458" s="30"/>
      <c r="Z458" s="30"/>
    </row>
    <row r="459" spans="12:26" x14ac:dyDescent="0.5">
      <c r="L459" s="30"/>
      <c r="Y459" s="30"/>
      <c r="Z459" s="30"/>
    </row>
    <row r="460" spans="12:26" x14ac:dyDescent="0.5">
      <c r="L460" s="30"/>
      <c r="Y460" s="30"/>
      <c r="Z460" s="30"/>
    </row>
    <row r="461" spans="12:26" x14ac:dyDescent="0.5">
      <c r="L461" s="30"/>
      <c r="Y461" s="30"/>
      <c r="Z461" s="30"/>
    </row>
    <row r="462" spans="12:26" x14ac:dyDescent="0.5">
      <c r="L462" s="30"/>
      <c r="Y462" s="30"/>
      <c r="Z462" s="30"/>
    </row>
    <row r="463" spans="12:26" x14ac:dyDescent="0.5">
      <c r="L463" s="30"/>
      <c r="Y463" s="30"/>
      <c r="Z463" s="30"/>
    </row>
    <row r="464" spans="12:26" x14ac:dyDescent="0.5">
      <c r="L464" s="30"/>
      <c r="Y464" s="30"/>
      <c r="Z464" s="30"/>
    </row>
    <row r="465" spans="12:26" x14ac:dyDescent="0.5">
      <c r="L465" s="30"/>
      <c r="Y465" s="30"/>
      <c r="Z465" s="30"/>
    </row>
    <row r="466" spans="12:26" x14ac:dyDescent="0.5">
      <c r="L466" s="30"/>
      <c r="Y466" s="30"/>
      <c r="Z466" s="30"/>
    </row>
    <row r="467" spans="12:26" x14ac:dyDescent="0.5">
      <c r="L467" s="30"/>
      <c r="Y467" s="30"/>
      <c r="Z467" s="30"/>
    </row>
    <row r="468" spans="12:26" x14ac:dyDescent="0.5">
      <c r="L468" s="30"/>
      <c r="Y468" s="30"/>
      <c r="Z468" s="30"/>
    </row>
    <row r="469" spans="12:26" x14ac:dyDescent="0.5">
      <c r="L469" s="30"/>
      <c r="Y469" s="30"/>
      <c r="Z469" s="30"/>
    </row>
    <row r="470" spans="12:26" x14ac:dyDescent="0.5">
      <c r="L470" s="30"/>
      <c r="Y470" s="30"/>
      <c r="Z470" s="30"/>
    </row>
    <row r="471" spans="12:26" x14ac:dyDescent="0.5">
      <c r="L471" s="30"/>
      <c r="Y471" s="30"/>
      <c r="Z471" s="30"/>
    </row>
    <row r="472" spans="12:26" x14ac:dyDescent="0.5">
      <c r="L472" s="30"/>
      <c r="Y472" s="30"/>
      <c r="Z472" s="30"/>
    </row>
    <row r="473" spans="12:26" x14ac:dyDescent="0.5">
      <c r="L473" s="30"/>
      <c r="Y473" s="30"/>
      <c r="Z473" s="30"/>
    </row>
    <row r="474" spans="12:26" x14ac:dyDescent="0.5">
      <c r="L474" s="30"/>
      <c r="Y474" s="30"/>
      <c r="Z474" s="30"/>
    </row>
    <row r="475" spans="12:26" x14ac:dyDescent="0.5">
      <c r="L475" s="30"/>
      <c r="Y475" s="30"/>
      <c r="Z475" s="30"/>
    </row>
    <row r="476" spans="12:26" x14ac:dyDescent="0.5">
      <c r="L476" s="30"/>
      <c r="Y476" s="30"/>
      <c r="Z476" s="30"/>
    </row>
    <row r="477" spans="12:26" x14ac:dyDescent="0.5">
      <c r="L477" s="30"/>
      <c r="Y477" s="30"/>
      <c r="Z477" s="30"/>
    </row>
    <row r="478" spans="12:26" x14ac:dyDescent="0.5">
      <c r="L478" s="30"/>
      <c r="Y478" s="30"/>
      <c r="Z478" s="30"/>
    </row>
    <row r="479" spans="12:26" x14ac:dyDescent="0.5">
      <c r="L479" s="30"/>
      <c r="Y479" s="30"/>
      <c r="Z479" s="30"/>
    </row>
    <row r="480" spans="12:26" x14ac:dyDescent="0.5">
      <c r="L480" s="30"/>
      <c r="Y480" s="30"/>
      <c r="Z480" s="30"/>
    </row>
    <row r="481" spans="12:26" x14ac:dyDescent="0.5">
      <c r="L481" s="30"/>
      <c r="Y481" s="30"/>
      <c r="Z481" s="30"/>
    </row>
    <row r="482" spans="12:26" x14ac:dyDescent="0.5">
      <c r="L482" s="30"/>
      <c r="Y482" s="30"/>
      <c r="Z482" s="30"/>
    </row>
    <row r="483" spans="12:26" x14ac:dyDescent="0.5">
      <c r="L483" s="30"/>
      <c r="Y483" s="30"/>
      <c r="Z483" s="30"/>
    </row>
    <row r="484" spans="12:26" x14ac:dyDescent="0.5">
      <c r="L484" s="30"/>
      <c r="Y484" s="30"/>
      <c r="Z484" s="30"/>
    </row>
    <row r="485" spans="12:26" x14ac:dyDescent="0.5">
      <c r="L485" s="30"/>
      <c r="Y485" s="30"/>
      <c r="Z485" s="30"/>
    </row>
    <row r="486" spans="12:26" x14ac:dyDescent="0.5">
      <c r="L486" s="30"/>
      <c r="Y486" s="30"/>
      <c r="Z486" s="30"/>
    </row>
    <row r="487" spans="12:26" x14ac:dyDescent="0.5">
      <c r="L487" s="30"/>
      <c r="Y487" s="30"/>
      <c r="Z487" s="30"/>
    </row>
    <row r="488" spans="12:26" x14ac:dyDescent="0.5">
      <c r="L488" s="30"/>
      <c r="Y488" s="30"/>
      <c r="Z488" s="30"/>
    </row>
    <row r="489" spans="12:26" x14ac:dyDescent="0.5">
      <c r="L489" s="30"/>
      <c r="Y489" s="30"/>
      <c r="Z489" s="30"/>
    </row>
    <row r="490" spans="12:26" x14ac:dyDescent="0.5">
      <c r="L490" s="30"/>
      <c r="Y490" s="30"/>
      <c r="Z490" s="30"/>
    </row>
    <row r="491" spans="12:26" x14ac:dyDescent="0.5">
      <c r="L491" s="30"/>
      <c r="Y491" s="30"/>
      <c r="Z491" s="30"/>
    </row>
    <row r="492" spans="12:26" x14ac:dyDescent="0.5">
      <c r="L492" s="30"/>
      <c r="Y492" s="30"/>
      <c r="Z492" s="30"/>
    </row>
    <row r="493" spans="12:26" x14ac:dyDescent="0.5">
      <c r="L493" s="30"/>
      <c r="Y493" s="30"/>
      <c r="Z493" s="30"/>
    </row>
    <row r="494" spans="12:26" x14ac:dyDescent="0.5">
      <c r="L494" s="30"/>
      <c r="Y494" s="30"/>
      <c r="Z494" s="30"/>
    </row>
    <row r="495" spans="12:26" x14ac:dyDescent="0.5">
      <c r="L495" s="30"/>
      <c r="Y495" s="30"/>
      <c r="Z495" s="30"/>
    </row>
    <row r="496" spans="12:26" x14ac:dyDescent="0.5">
      <c r="L496" s="30"/>
      <c r="Y496" s="30"/>
      <c r="Z496" s="30"/>
    </row>
    <row r="497" spans="12:26" x14ac:dyDescent="0.5">
      <c r="L497" s="30"/>
      <c r="Y497" s="30"/>
      <c r="Z497" s="30"/>
    </row>
    <row r="498" spans="12:26" x14ac:dyDescent="0.5">
      <c r="L498" s="30"/>
      <c r="Y498" s="30"/>
      <c r="Z498" s="30"/>
    </row>
    <row r="499" spans="12:26" x14ac:dyDescent="0.5">
      <c r="L499" s="30"/>
      <c r="Y499" s="30"/>
      <c r="Z499" s="30"/>
    </row>
    <row r="500" spans="12:26" x14ac:dyDescent="0.5">
      <c r="L500" s="30"/>
      <c r="Y500" s="30"/>
      <c r="Z500" s="30"/>
    </row>
    <row r="501" spans="12:26" x14ac:dyDescent="0.5">
      <c r="L501" s="30"/>
      <c r="Y501" s="30"/>
      <c r="Z501" s="30"/>
    </row>
    <row r="502" spans="12:26" x14ac:dyDescent="0.5">
      <c r="L502" s="30"/>
      <c r="Y502" s="30"/>
      <c r="Z502" s="30"/>
    </row>
    <row r="503" spans="12:26" x14ac:dyDescent="0.5">
      <c r="L503" s="30"/>
      <c r="Y503" s="30"/>
      <c r="Z503" s="30"/>
    </row>
    <row r="504" spans="12:26" x14ac:dyDescent="0.5">
      <c r="L504" s="30"/>
      <c r="Y504" s="30"/>
      <c r="Z504" s="30"/>
    </row>
    <row r="505" spans="12:26" x14ac:dyDescent="0.5">
      <c r="L505" s="30"/>
      <c r="Y505" s="30"/>
      <c r="Z505" s="30"/>
    </row>
    <row r="506" spans="12:26" x14ac:dyDescent="0.5">
      <c r="L506" s="30"/>
      <c r="Y506" s="30"/>
      <c r="Z506" s="30"/>
    </row>
    <row r="507" spans="12:26" x14ac:dyDescent="0.5">
      <c r="L507" s="30"/>
      <c r="Y507" s="30"/>
      <c r="Z507" s="30"/>
    </row>
    <row r="508" spans="12:26" x14ac:dyDescent="0.5">
      <c r="L508" s="30"/>
      <c r="Y508" s="30"/>
      <c r="Z508" s="30"/>
    </row>
    <row r="509" spans="12:26" x14ac:dyDescent="0.5">
      <c r="L509" s="30"/>
      <c r="Y509" s="30"/>
      <c r="Z509" s="30"/>
    </row>
    <row r="510" spans="12:26" x14ac:dyDescent="0.5">
      <c r="L510" s="30"/>
      <c r="Y510" s="30"/>
      <c r="Z510" s="30"/>
    </row>
    <row r="511" spans="12:26" x14ac:dyDescent="0.5">
      <c r="L511" s="30"/>
      <c r="Y511" s="30"/>
      <c r="Z511" s="30"/>
    </row>
    <row r="512" spans="12:26" x14ac:dyDescent="0.5">
      <c r="L512" s="30"/>
      <c r="Y512" s="30"/>
      <c r="Z512" s="30"/>
    </row>
    <row r="513" spans="12:26" x14ac:dyDescent="0.5">
      <c r="L513" s="30"/>
      <c r="Y513" s="30"/>
      <c r="Z513" s="30"/>
    </row>
    <row r="514" spans="12:26" x14ac:dyDescent="0.5">
      <c r="L514" s="30"/>
      <c r="Y514" s="30"/>
      <c r="Z514" s="30"/>
    </row>
    <row r="515" spans="12:26" x14ac:dyDescent="0.5">
      <c r="L515" s="30"/>
      <c r="Y515" s="30"/>
      <c r="Z515" s="30"/>
    </row>
    <row r="516" spans="12:26" x14ac:dyDescent="0.5">
      <c r="L516" s="30"/>
      <c r="Y516" s="30"/>
      <c r="Z516" s="30"/>
    </row>
    <row r="517" spans="12:26" x14ac:dyDescent="0.5">
      <c r="L517" s="30"/>
      <c r="Y517" s="30"/>
      <c r="Z517" s="30"/>
    </row>
    <row r="518" spans="12:26" x14ac:dyDescent="0.5">
      <c r="L518" s="30"/>
      <c r="Y518" s="30"/>
      <c r="Z518" s="30"/>
    </row>
    <row r="519" spans="12:26" x14ac:dyDescent="0.5">
      <c r="L519" s="30"/>
      <c r="Y519" s="30"/>
      <c r="Z519" s="30"/>
    </row>
    <row r="520" spans="12:26" x14ac:dyDescent="0.5">
      <c r="L520" s="30"/>
      <c r="Y520" s="30"/>
      <c r="Z520" s="30"/>
    </row>
    <row r="521" spans="12:26" x14ac:dyDescent="0.5">
      <c r="L521" s="30"/>
      <c r="Y521" s="30"/>
      <c r="Z521" s="30"/>
    </row>
    <row r="522" spans="12:26" x14ac:dyDescent="0.5">
      <c r="L522" s="30"/>
      <c r="Y522" s="30"/>
      <c r="Z522" s="30"/>
    </row>
    <row r="523" spans="12:26" x14ac:dyDescent="0.5">
      <c r="L523" s="30"/>
      <c r="Y523" s="30"/>
      <c r="Z523" s="30"/>
    </row>
    <row r="524" spans="12:26" x14ac:dyDescent="0.5">
      <c r="L524" s="30"/>
      <c r="Y524" s="30"/>
      <c r="Z524" s="30"/>
    </row>
    <row r="525" spans="12:26" x14ac:dyDescent="0.5">
      <c r="L525" s="30"/>
      <c r="Y525" s="30"/>
      <c r="Z525" s="30"/>
    </row>
    <row r="526" spans="12:26" x14ac:dyDescent="0.5">
      <c r="L526" s="30"/>
      <c r="Y526" s="30"/>
      <c r="Z526" s="30"/>
    </row>
    <row r="527" spans="12:26" x14ac:dyDescent="0.5">
      <c r="L527" s="30"/>
      <c r="Y527" s="30"/>
      <c r="Z527" s="30"/>
    </row>
    <row r="528" spans="12:26" x14ac:dyDescent="0.5">
      <c r="L528" s="30"/>
      <c r="Y528" s="30"/>
      <c r="Z528" s="30"/>
    </row>
    <row r="529" spans="12:26" x14ac:dyDescent="0.5">
      <c r="L529" s="30"/>
      <c r="Y529" s="30"/>
      <c r="Z529" s="30"/>
    </row>
    <row r="530" spans="12:26" x14ac:dyDescent="0.5">
      <c r="L530" s="30"/>
      <c r="Y530" s="30"/>
      <c r="Z530" s="30"/>
    </row>
    <row r="531" spans="12:26" x14ac:dyDescent="0.5">
      <c r="L531" s="30"/>
      <c r="Y531" s="30"/>
      <c r="Z531" s="30"/>
    </row>
    <row r="532" spans="12:26" x14ac:dyDescent="0.5">
      <c r="L532" s="30"/>
      <c r="Y532" s="30"/>
      <c r="Z532" s="30"/>
    </row>
    <row r="533" spans="12:26" x14ac:dyDescent="0.5">
      <c r="L533" s="30"/>
      <c r="Y533" s="30"/>
      <c r="Z533" s="30"/>
    </row>
    <row r="534" spans="12:26" x14ac:dyDescent="0.5">
      <c r="L534" s="30"/>
      <c r="Y534" s="30"/>
      <c r="Z534" s="30"/>
    </row>
    <row r="535" spans="12:26" x14ac:dyDescent="0.5">
      <c r="L535" s="30"/>
      <c r="Y535" s="30"/>
      <c r="Z535" s="30"/>
    </row>
    <row r="536" spans="12:26" x14ac:dyDescent="0.5">
      <c r="L536" s="30"/>
      <c r="Y536" s="30"/>
      <c r="Z536" s="30"/>
    </row>
    <row r="537" spans="12:26" x14ac:dyDescent="0.5">
      <c r="L537" s="30"/>
      <c r="Y537" s="30"/>
      <c r="Z537" s="30"/>
    </row>
    <row r="538" spans="12:26" x14ac:dyDescent="0.5">
      <c r="L538" s="30"/>
      <c r="Y538" s="30"/>
      <c r="Z538" s="30"/>
    </row>
    <row r="539" spans="12:26" x14ac:dyDescent="0.5">
      <c r="L539" s="30"/>
      <c r="Y539" s="30"/>
      <c r="Z539" s="30"/>
    </row>
    <row r="540" spans="12:26" x14ac:dyDescent="0.5">
      <c r="L540" s="30"/>
      <c r="Y540" s="30"/>
      <c r="Z540" s="30"/>
    </row>
    <row r="541" spans="12:26" x14ac:dyDescent="0.5">
      <c r="L541" s="30"/>
      <c r="Y541" s="30"/>
      <c r="Z541" s="30"/>
    </row>
    <row r="542" spans="12:26" x14ac:dyDescent="0.5">
      <c r="L542" s="30"/>
      <c r="Y542" s="30"/>
      <c r="Z542" s="30"/>
    </row>
    <row r="543" spans="12:26" x14ac:dyDescent="0.5">
      <c r="L543" s="30"/>
      <c r="Y543" s="30"/>
      <c r="Z543" s="30"/>
    </row>
    <row r="544" spans="12:26" x14ac:dyDescent="0.5">
      <c r="L544" s="30"/>
      <c r="Y544" s="30"/>
      <c r="Z544" s="30"/>
    </row>
    <row r="545" spans="12:26" x14ac:dyDescent="0.5">
      <c r="L545" s="30"/>
      <c r="Y545" s="30"/>
      <c r="Z545" s="30"/>
    </row>
    <row r="546" spans="12:26" x14ac:dyDescent="0.5">
      <c r="L546" s="30"/>
      <c r="Y546" s="30"/>
      <c r="Z546" s="30"/>
    </row>
    <row r="547" spans="12:26" x14ac:dyDescent="0.5">
      <c r="L547" s="30"/>
      <c r="Y547" s="30"/>
      <c r="Z547" s="30"/>
    </row>
    <row r="548" spans="12:26" x14ac:dyDescent="0.5">
      <c r="L548" s="30"/>
      <c r="Y548" s="30"/>
      <c r="Z548" s="30"/>
    </row>
    <row r="549" spans="12:26" x14ac:dyDescent="0.5">
      <c r="L549" s="30"/>
      <c r="Y549" s="30"/>
      <c r="Z549" s="30"/>
    </row>
    <row r="550" spans="12:26" x14ac:dyDescent="0.5">
      <c r="L550" s="30"/>
      <c r="Y550" s="30"/>
      <c r="Z550" s="30"/>
    </row>
    <row r="551" spans="12:26" x14ac:dyDescent="0.5">
      <c r="L551" s="30"/>
      <c r="Y551" s="30"/>
      <c r="Z551" s="30"/>
    </row>
    <row r="552" spans="12:26" x14ac:dyDescent="0.5">
      <c r="L552" s="30"/>
      <c r="Y552" s="30"/>
      <c r="Z552" s="30"/>
    </row>
    <row r="553" spans="12:26" x14ac:dyDescent="0.5">
      <c r="L553" s="30"/>
      <c r="Y553" s="30"/>
      <c r="Z553" s="30"/>
    </row>
    <row r="554" spans="12:26" x14ac:dyDescent="0.5">
      <c r="L554" s="30"/>
      <c r="Y554" s="30"/>
      <c r="Z554" s="30"/>
    </row>
    <row r="555" spans="12:26" x14ac:dyDescent="0.5">
      <c r="L555" s="30"/>
      <c r="Y555" s="30"/>
      <c r="Z555" s="30"/>
    </row>
    <row r="556" spans="12:26" x14ac:dyDescent="0.5">
      <c r="L556" s="30"/>
      <c r="Y556" s="30"/>
      <c r="Z556" s="30"/>
    </row>
    <row r="557" spans="12:26" x14ac:dyDescent="0.5">
      <c r="L557" s="30"/>
      <c r="Y557" s="30"/>
      <c r="Z557" s="30"/>
    </row>
    <row r="558" spans="12:26" x14ac:dyDescent="0.5">
      <c r="L558" s="30"/>
      <c r="Y558" s="30"/>
      <c r="Z558" s="30"/>
    </row>
    <row r="559" spans="12:26" x14ac:dyDescent="0.5">
      <c r="L559" s="30"/>
      <c r="Y559" s="30"/>
      <c r="Z559" s="30"/>
    </row>
    <row r="560" spans="12:26" x14ac:dyDescent="0.5">
      <c r="L560" s="30"/>
      <c r="Y560" s="30"/>
      <c r="Z560" s="30"/>
    </row>
    <row r="561" spans="12:26" x14ac:dyDescent="0.5">
      <c r="L561" s="30"/>
      <c r="Y561" s="30"/>
      <c r="Z561" s="30"/>
    </row>
    <row r="562" spans="12:26" x14ac:dyDescent="0.5">
      <c r="L562" s="30"/>
      <c r="Y562" s="30"/>
      <c r="Z562" s="30"/>
    </row>
    <row r="563" spans="12:26" x14ac:dyDescent="0.5">
      <c r="L563" s="30"/>
      <c r="Y563" s="30"/>
      <c r="Z563" s="30"/>
    </row>
    <row r="564" spans="12:26" x14ac:dyDescent="0.5">
      <c r="L564" s="30"/>
      <c r="Y564" s="30"/>
      <c r="Z564" s="30"/>
    </row>
    <row r="565" spans="12:26" x14ac:dyDescent="0.5">
      <c r="L565" s="30"/>
      <c r="Y565" s="30"/>
      <c r="Z565" s="30"/>
    </row>
    <row r="566" spans="12:26" x14ac:dyDescent="0.5">
      <c r="L566" s="30"/>
      <c r="Y566" s="30"/>
      <c r="Z566" s="30"/>
    </row>
    <row r="567" spans="12:26" x14ac:dyDescent="0.5">
      <c r="L567" s="30"/>
      <c r="Y567" s="30"/>
      <c r="Z567" s="30"/>
    </row>
    <row r="568" spans="12:26" x14ac:dyDescent="0.5">
      <c r="L568" s="30"/>
      <c r="Y568" s="30"/>
      <c r="Z568" s="30"/>
    </row>
    <row r="569" spans="12:26" x14ac:dyDescent="0.5">
      <c r="L569" s="30"/>
      <c r="Y569" s="30"/>
      <c r="Z569" s="30"/>
    </row>
    <row r="570" spans="12:26" x14ac:dyDescent="0.5">
      <c r="L570" s="30"/>
      <c r="Y570" s="30"/>
      <c r="Z570" s="30"/>
    </row>
    <row r="571" spans="12:26" x14ac:dyDescent="0.5">
      <c r="L571" s="30"/>
      <c r="Y571" s="30"/>
      <c r="Z571" s="30"/>
    </row>
    <row r="572" spans="12:26" x14ac:dyDescent="0.5">
      <c r="L572" s="30"/>
      <c r="Y572" s="30"/>
      <c r="Z572" s="30"/>
    </row>
    <row r="573" spans="12:26" x14ac:dyDescent="0.5">
      <c r="L573" s="30"/>
      <c r="Y573" s="30"/>
      <c r="Z573" s="30"/>
    </row>
    <row r="574" spans="12:26" x14ac:dyDescent="0.5">
      <c r="L574" s="30"/>
      <c r="Y574" s="30"/>
      <c r="Z574" s="30"/>
    </row>
    <row r="575" spans="12:26" x14ac:dyDescent="0.5">
      <c r="L575" s="30"/>
      <c r="Y575" s="30"/>
      <c r="Z575" s="30"/>
    </row>
    <row r="576" spans="12:26" x14ac:dyDescent="0.5">
      <c r="L576" s="30"/>
      <c r="Y576" s="30"/>
      <c r="Z576" s="30"/>
    </row>
    <row r="577" spans="12:26" x14ac:dyDescent="0.5">
      <c r="L577" s="30"/>
      <c r="Y577" s="30"/>
      <c r="Z577" s="30"/>
    </row>
    <row r="578" spans="12:26" x14ac:dyDescent="0.5">
      <c r="L578" s="30"/>
      <c r="Y578" s="30"/>
      <c r="Z578" s="30"/>
    </row>
    <row r="579" spans="12:26" x14ac:dyDescent="0.5">
      <c r="L579" s="30"/>
      <c r="Y579" s="30"/>
      <c r="Z579" s="30"/>
    </row>
    <row r="580" spans="12:26" x14ac:dyDescent="0.5">
      <c r="L580" s="30"/>
      <c r="Y580" s="30"/>
      <c r="Z580" s="30"/>
    </row>
    <row r="581" spans="12:26" x14ac:dyDescent="0.5">
      <c r="L581" s="30"/>
      <c r="Y581" s="30"/>
      <c r="Z581" s="30"/>
    </row>
    <row r="582" spans="12:26" x14ac:dyDescent="0.5">
      <c r="L582" s="30"/>
      <c r="Y582" s="30"/>
      <c r="Z582" s="30"/>
    </row>
    <row r="583" spans="12:26" x14ac:dyDescent="0.5">
      <c r="L583" s="30"/>
      <c r="Y583" s="30"/>
      <c r="Z583" s="30"/>
    </row>
    <row r="584" spans="12:26" x14ac:dyDescent="0.5">
      <c r="L584" s="30"/>
      <c r="Y584" s="30"/>
      <c r="Z584" s="30"/>
    </row>
    <row r="585" spans="12:26" x14ac:dyDescent="0.5">
      <c r="L585" s="30"/>
      <c r="Y585" s="30"/>
      <c r="Z585" s="30"/>
    </row>
    <row r="586" spans="12:26" x14ac:dyDescent="0.5">
      <c r="L586" s="30"/>
      <c r="Y586" s="30"/>
      <c r="Z586" s="30"/>
    </row>
    <row r="587" spans="12:26" x14ac:dyDescent="0.5">
      <c r="L587" s="30"/>
      <c r="Y587" s="30"/>
      <c r="Z587" s="30"/>
    </row>
    <row r="588" spans="12:26" x14ac:dyDescent="0.5">
      <c r="L588" s="30"/>
      <c r="Y588" s="30"/>
      <c r="Z588" s="30"/>
    </row>
    <row r="589" spans="12:26" x14ac:dyDescent="0.5">
      <c r="L589" s="30"/>
      <c r="Y589" s="30"/>
      <c r="Z589" s="30"/>
    </row>
    <row r="590" spans="12:26" x14ac:dyDescent="0.5">
      <c r="L590" s="30"/>
      <c r="Y590" s="30"/>
      <c r="Z590" s="30"/>
    </row>
    <row r="591" spans="12:26" x14ac:dyDescent="0.5">
      <c r="L591" s="30"/>
      <c r="Y591" s="30"/>
      <c r="Z591" s="30"/>
    </row>
    <row r="592" spans="12:26" x14ac:dyDescent="0.5">
      <c r="L592" s="30"/>
      <c r="Y592" s="30"/>
      <c r="Z592" s="30"/>
    </row>
    <row r="593" spans="12:26" x14ac:dyDescent="0.5">
      <c r="L593" s="30"/>
      <c r="Y593" s="30"/>
      <c r="Z593" s="30"/>
    </row>
    <row r="594" spans="12:26" x14ac:dyDescent="0.5">
      <c r="L594" s="30"/>
      <c r="Y594" s="30"/>
      <c r="Z594" s="30"/>
    </row>
    <row r="595" spans="12:26" x14ac:dyDescent="0.5">
      <c r="L595" s="30"/>
      <c r="Y595" s="30"/>
      <c r="Z595" s="30"/>
    </row>
    <row r="596" spans="12:26" x14ac:dyDescent="0.5">
      <c r="L596" s="30"/>
      <c r="Y596" s="30"/>
      <c r="Z596" s="30"/>
    </row>
    <row r="597" spans="12:26" x14ac:dyDescent="0.5">
      <c r="L597" s="30"/>
      <c r="Y597" s="30"/>
      <c r="Z597" s="30"/>
    </row>
    <row r="598" spans="12:26" x14ac:dyDescent="0.5">
      <c r="L598" s="30"/>
      <c r="Y598" s="30"/>
      <c r="Z598" s="30"/>
    </row>
    <row r="599" spans="12:26" x14ac:dyDescent="0.5">
      <c r="L599" s="30"/>
      <c r="Y599" s="30"/>
      <c r="Z599" s="30"/>
    </row>
    <row r="600" spans="12:26" x14ac:dyDescent="0.5">
      <c r="L600" s="30"/>
      <c r="Y600" s="30"/>
      <c r="Z600" s="30"/>
    </row>
    <row r="601" spans="12:26" x14ac:dyDescent="0.5">
      <c r="L601" s="30"/>
      <c r="Y601" s="30"/>
      <c r="Z601" s="30"/>
    </row>
    <row r="602" spans="12:26" x14ac:dyDescent="0.5">
      <c r="L602" s="30"/>
      <c r="Y602" s="30"/>
      <c r="Z602" s="30"/>
    </row>
    <row r="603" spans="12:26" x14ac:dyDescent="0.5">
      <c r="L603" s="30"/>
      <c r="Y603" s="30"/>
      <c r="Z603" s="30"/>
    </row>
    <row r="604" spans="12:26" x14ac:dyDescent="0.5">
      <c r="L604" s="30"/>
      <c r="Y604" s="30"/>
      <c r="Z604" s="30"/>
    </row>
    <row r="605" spans="12:26" x14ac:dyDescent="0.5">
      <c r="L605" s="30"/>
      <c r="Y605" s="30"/>
      <c r="Z605" s="30"/>
    </row>
    <row r="606" spans="12:26" x14ac:dyDescent="0.5">
      <c r="L606" s="30"/>
      <c r="Y606" s="30"/>
      <c r="Z606" s="30"/>
    </row>
    <row r="607" spans="12:26" x14ac:dyDescent="0.5">
      <c r="L607" s="30"/>
      <c r="Y607" s="30"/>
      <c r="Z607" s="30"/>
    </row>
    <row r="608" spans="12:26" x14ac:dyDescent="0.5">
      <c r="L608" s="30"/>
      <c r="Y608" s="30"/>
      <c r="Z608" s="30"/>
    </row>
    <row r="609" spans="12:26" x14ac:dyDescent="0.5">
      <c r="L609" s="30"/>
      <c r="Y609" s="30"/>
      <c r="Z609" s="30"/>
    </row>
    <row r="610" spans="12:26" x14ac:dyDescent="0.5">
      <c r="L610" s="30"/>
      <c r="Y610" s="30"/>
      <c r="Z610" s="30"/>
    </row>
    <row r="611" spans="12:26" x14ac:dyDescent="0.5">
      <c r="L611" s="30"/>
      <c r="Y611" s="30"/>
      <c r="Z611" s="30"/>
    </row>
    <row r="612" spans="12:26" x14ac:dyDescent="0.5">
      <c r="L612" s="30"/>
      <c r="Y612" s="30"/>
      <c r="Z612" s="30"/>
    </row>
    <row r="613" spans="12:26" x14ac:dyDescent="0.5">
      <c r="L613" s="30"/>
      <c r="Y613" s="30"/>
      <c r="Z613" s="30"/>
    </row>
    <row r="614" spans="12:26" x14ac:dyDescent="0.5">
      <c r="L614" s="30"/>
      <c r="Y614" s="30"/>
      <c r="Z614" s="30"/>
    </row>
    <row r="615" spans="12:26" x14ac:dyDescent="0.5">
      <c r="L615" s="30"/>
      <c r="Y615" s="30"/>
      <c r="Z615" s="30"/>
    </row>
    <row r="616" spans="12:26" x14ac:dyDescent="0.5">
      <c r="L616" s="30"/>
      <c r="Y616" s="30"/>
      <c r="Z616" s="30"/>
    </row>
    <row r="617" spans="12:26" x14ac:dyDescent="0.5">
      <c r="L617" s="30"/>
      <c r="Y617" s="30"/>
      <c r="Z617" s="30"/>
    </row>
    <row r="618" spans="12:26" x14ac:dyDescent="0.5">
      <c r="L618" s="30"/>
      <c r="Y618" s="30"/>
      <c r="Z618" s="30"/>
    </row>
    <row r="619" spans="12:26" x14ac:dyDescent="0.5">
      <c r="L619" s="30"/>
      <c r="Y619" s="30"/>
      <c r="Z619" s="30"/>
    </row>
    <row r="620" spans="12:26" x14ac:dyDescent="0.5">
      <c r="L620" s="30"/>
      <c r="Y620" s="30"/>
      <c r="Z620" s="30"/>
    </row>
    <row r="621" spans="12:26" x14ac:dyDescent="0.5">
      <c r="L621" s="30"/>
      <c r="Y621" s="30"/>
      <c r="Z621" s="30"/>
    </row>
    <row r="622" spans="12:26" x14ac:dyDescent="0.5">
      <c r="L622" s="30"/>
      <c r="Y622" s="30"/>
      <c r="Z622" s="30"/>
    </row>
    <row r="623" spans="12:26" x14ac:dyDescent="0.5">
      <c r="L623" s="30"/>
      <c r="Y623" s="30"/>
      <c r="Z623" s="30"/>
    </row>
    <row r="624" spans="12:26" x14ac:dyDescent="0.5">
      <c r="L624" s="30"/>
      <c r="Y624" s="30"/>
      <c r="Z624" s="30"/>
    </row>
    <row r="625" spans="12:26" x14ac:dyDescent="0.5">
      <c r="L625" s="30"/>
      <c r="Y625" s="30"/>
      <c r="Z625" s="30"/>
    </row>
    <row r="626" spans="12:26" x14ac:dyDescent="0.5">
      <c r="L626" s="30"/>
      <c r="Y626" s="30"/>
      <c r="Z626" s="30"/>
    </row>
    <row r="627" spans="12:26" x14ac:dyDescent="0.5">
      <c r="L627" s="30"/>
      <c r="Y627" s="30"/>
      <c r="Z627" s="30"/>
    </row>
    <row r="628" spans="12:26" x14ac:dyDescent="0.5">
      <c r="L628" s="30"/>
      <c r="Y628" s="30"/>
      <c r="Z628" s="30"/>
    </row>
    <row r="629" spans="12:26" x14ac:dyDescent="0.5">
      <c r="L629" s="30"/>
      <c r="Y629" s="30"/>
      <c r="Z629" s="30"/>
    </row>
    <row r="630" spans="12:26" x14ac:dyDescent="0.5">
      <c r="L630" s="30"/>
      <c r="Y630" s="30"/>
      <c r="Z630" s="30"/>
    </row>
    <row r="631" spans="12:26" x14ac:dyDescent="0.5">
      <c r="L631" s="30"/>
      <c r="Y631" s="30"/>
      <c r="Z631" s="30"/>
    </row>
    <row r="632" spans="12:26" x14ac:dyDescent="0.5">
      <c r="L632" s="30"/>
      <c r="Y632" s="30"/>
      <c r="Z632" s="30"/>
    </row>
    <row r="633" spans="12:26" x14ac:dyDescent="0.5">
      <c r="L633" s="30"/>
      <c r="Y633" s="30"/>
      <c r="Z633" s="30"/>
    </row>
    <row r="634" spans="12:26" x14ac:dyDescent="0.5">
      <c r="L634" s="30"/>
      <c r="Y634" s="30"/>
      <c r="Z634" s="30"/>
    </row>
    <row r="635" spans="12:26" x14ac:dyDescent="0.5">
      <c r="L635" s="30"/>
      <c r="Y635" s="30"/>
      <c r="Z635" s="30"/>
    </row>
    <row r="636" spans="12:26" x14ac:dyDescent="0.5">
      <c r="L636" s="30"/>
      <c r="Y636" s="30"/>
      <c r="Z636" s="30"/>
    </row>
    <row r="637" spans="12:26" x14ac:dyDescent="0.5">
      <c r="L637" s="30"/>
      <c r="Y637" s="30"/>
      <c r="Z637" s="30"/>
    </row>
    <row r="638" spans="12:26" x14ac:dyDescent="0.5">
      <c r="L638" s="30"/>
      <c r="Y638" s="30"/>
      <c r="Z638" s="30"/>
    </row>
    <row r="639" spans="12:26" x14ac:dyDescent="0.5">
      <c r="L639" s="30"/>
      <c r="Y639" s="30"/>
      <c r="Z639" s="30"/>
    </row>
    <row r="640" spans="12:26" x14ac:dyDescent="0.5">
      <c r="L640" s="30"/>
      <c r="Y640" s="30"/>
      <c r="Z640" s="30"/>
    </row>
    <row r="641" spans="12:26" x14ac:dyDescent="0.5">
      <c r="L641" s="30"/>
      <c r="Y641" s="30"/>
      <c r="Z641" s="30"/>
    </row>
    <row r="642" spans="12:26" x14ac:dyDescent="0.5">
      <c r="L642" s="30"/>
      <c r="Y642" s="30"/>
      <c r="Z642" s="30"/>
    </row>
    <row r="643" spans="12:26" x14ac:dyDescent="0.5">
      <c r="L643" s="30"/>
      <c r="Y643" s="30"/>
      <c r="Z643" s="30"/>
    </row>
    <row r="644" spans="12:26" x14ac:dyDescent="0.5">
      <c r="L644" s="30"/>
      <c r="Y644" s="30"/>
      <c r="Z644" s="30"/>
    </row>
    <row r="645" spans="12:26" x14ac:dyDescent="0.5">
      <c r="L645" s="30"/>
      <c r="Y645" s="30"/>
      <c r="Z645" s="30"/>
    </row>
    <row r="646" spans="12:26" x14ac:dyDescent="0.5">
      <c r="L646" s="30"/>
      <c r="Y646" s="30"/>
      <c r="Z646" s="30"/>
    </row>
    <row r="647" spans="12:26" x14ac:dyDescent="0.5">
      <c r="L647" s="30"/>
      <c r="Y647" s="30"/>
      <c r="Z647" s="30"/>
    </row>
    <row r="648" spans="12:26" x14ac:dyDescent="0.5">
      <c r="L648" s="30"/>
      <c r="Y648" s="30"/>
      <c r="Z648" s="30"/>
    </row>
    <row r="649" spans="12:26" x14ac:dyDescent="0.5">
      <c r="L649" s="30"/>
      <c r="Y649" s="30"/>
      <c r="Z649" s="30"/>
    </row>
    <row r="650" spans="12:26" x14ac:dyDescent="0.5">
      <c r="L650" s="30"/>
      <c r="Y650" s="30"/>
      <c r="Z650" s="30"/>
    </row>
    <row r="651" spans="12:26" x14ac:dyDescent="0.5">
      <c r="L651" s="30"/>
      <c r="Y651" s="30"/>
      <c r="Z651" s="30"/>
    </row>
    <row r="652" spans="12:26" x14ac:dyDescent="0.5">
      <c r="L652" s="30"/>
      <c r="Y652" s="30"/>
      <c r="Z652" s="30"/>
    </row>
    <row r="653" spans="12:26" x14ac:dyDescent="0.5">
      <c r="L653" s="30"/>
      <c r="Y653" s="30"/>
      <c r="Z653" s="30"/>
    </row>
    <row r="654" spans="12:26" x14ac:dyDescent="0.5">
      <c r="L654" s="30"/>
      <c r="Y654" s="30"/>
      <c r="Z654" s="30"/>
    </row>
    <row r="655" spans="12:26" x14ac:dyDescent="0.5">
      <c r="L655" s="30"/>
      <c r="Y655" s="30"/>
      <c r="Z655" s="30"/>
    </row>
    <row r="656" spans="12:26" x14ac:dyDescent="0.5">
      <c r="L656" s="30"/>
      <c r="Y656" s="30"/>
      <c r="Z656" s="30"/>
    </row>
    <row r="657" spans="12:26" x14ac:dyDescent="0.5">
      <c r="L657" s="30"/>
      <c r="Y657" s="30"/>
      <c r="Z657" s="30"/>
    </row>
    <row r="658" spans="12:26" x14ac:dyDescent="0.5">
      <c r="L658" s="30"/>
      <c r="Y658" s="30"/>
      <c r="Z658" s="30"/>
    </row>
    <row r="659" spans="12:26" x14ac:dyDescent="0.5">
      <c r="L659" s="30"/>
      <c r="Y659" s="30"/>
      <c r="Z659" s="30"/>
    </row>
    <row r="660" spans="12:26" x14ac:dyDescent="0.5">
      <c r="L660" s="30"/>
      <c r="Y660" s="30"/>
      <c r="Z660" s="30"/>
    </row>
    <row r="661" spans="12:26" x14ac:dyDescent="0.5">
      <c r="L661" s="30"/>
      <c r="Y661" s="30"/>
      <c r="Z661" s="30"/>
    </row>
    <row r="662" spans="12:26" x14ac:dyDescent="0.5">
      <c r="L662" s="30"/>
      <c r="Y662" s="30"/>
      <c r="Z662" s="30"/>
    </row>
    <row r="663" spans="12:26" x14ac:dyDescent="0.5">
      <c r="L663" s="30"/>
      <c r="Y663" s="30"/>
      <c r="Z663" s="30"/>
    </row>
    <row r="664" spans="12:26" x14ac:dyDescent="0.5">
      <c r="L664" s="30"/>
      <c r="Y664" s="30"/>
      <c r="Z664" s="30"/>
    </row>
    <row r="665" spans="12:26" x14ac:dyDescent="0.5">
      <c r="L665" s="30"/>
      <c r="Y665" s="30"/>
      <c r="Z665" s="30"/>
    </row>
    <row r="666" spans="12:26" x14ac:dyDescent="0.5">
      <c r="L666" s="30"/>
      <c r="Y666" s="30"/>
      <c r="Z666" s="30"/>
    </row>
    <row r="667" spans="12:26" x14ac:dyDescent="0.5">
      <c r="L667" s="30"/>
      <c r="Y667" s="30"/>
      <c r="Z667" s="30"/>
    </row>
    <row r="668" spans="12:26" x14ac:dyDescent="0.5">
      <c r="L668" s="30"/>
      <c r="Y668" s="30"/>
      <c r="Z668" s="30"/>
    </row>
    <row r="669" spans="12:26" x14ac:dyDescent="0.5">
      <c r="L669" s="30"/>
      <c r="Y669" s="30"/>
      <c r="Z669" s="30"/>
    </row>
    <row r="670" spans="12:26" x14ac:dyDescent="0.5">
      <c r="L670" s="30"/>
      <c r="Y670" s="30"/>
      <c r="Z670" s="30"/>
    </row>
    <row r="671" spans="12:26" x14ac:dyDescent="0.5">
      <c r="L671" s="30"/>
      <c r="Y671" s="30"/>
      <c r="Z671" s="30"/>
    </row>
    <row r="672" spans="12:26" x14ac:dyDescent="0.5">
      <c r="L672" s="30"/>
      <c r="Y672" s="30"/>
      <c r="Z672" s="30"/>
    </row>
    <row r="673" spans="12:26" x14ac:dyDescent="0.5">
      <c r="L673" s="30"/>
      <c r="Y673" s="30"/>
      <c r="Z673" s="30"/>
    </row>
    <row r="674" spans="12:26" x14ac:dyDescent="0.5">
      <c r="L674" s="30"/>
      <c r="Y674" s="30"/>
      <c r="Z674" s="30"/>
    </row>
    <row r="675" spans="12:26" x14ac:dyDescent="0.5">
      <c r="L675" s="30"/>
      <c r="Y675" s="30"/>
      <c r="Z675" s="30"/>
    </row>
    <row r="676" spans="12:26" x14ac:dyDescent="0.5">
      <c r="L676" s="30"/>
      <c r="Y676" s="30"/>
      <c r="Z676" s="30"/>
    </row>
    <row r="677" spans="12:26" x14ac:dyDescent="0.5">
      <c r="L677" s="30"/>
      <c r="Y677" s="30"/>
      <c r="Z677" s="30"/>
    </row>
    <row r="678" spans="12:26" x14ac:dyDescent="0.5">
      <c r="L678" s="30"/>
      <c r="Y678" s="30"/>
      <c r="Z678" s="30"/>
    </row>
    <row r="679" spans="12:26" x14ac:dyDescent="0.5">
      <c r="L679" s="30"/>
      <c r="Y679" s="30"/>
      <c r="Z679" s="30"/>
    </row>
    <row r="680" spans="12:26" x14ac:dyDescent="0.5">
      <c r="L680" s="30"/>
      <c r="Y680" s="30"/>
      <c r="Z680" s="30"/>
    </row>
    <row r="681" spans="12:26" x14ac:dyDescent="0.5">
      <c r="L681" s="30"/>
      <c r="Y681" s="30"/>
      <c r="Z681" s="30"/>
    </row>
    <row r="682" spans="12:26" x14ac:dyDescent="0.5">
      <c r="L682" s="30"/>
      <c r="Y682" s="30"/>
      <c r="Z682" s="30"/>
    </row>
    <row r="683" spans="12:26" x14ac:dyDescent="0.5">
      <c r="L683" s="30"/>
      <c r="Y683" s="30"/>
      <c r="Z683" s="30"/>
    </row>
    <row r="684" spans="12:26" x14ac:dyDescent="0.5">
      <c r="L684" s="30"/>
      <c r="Y684" s="30"/>
      <c r="Z684" s="30"/>
    </row>
    <row r="685" spans="12:26" x14ac:dyDescent="0.5">
      <c r="L685" s="30"/>
      <c r="Y685" s="30"/>
      <c r="Z685" s="30"/>
    </row>
    <row r="686" spans="12:26" x14ac:dyDescent="0.5">
      <c r="L686" s="30"/>
      <c r="Y686" s="30"/>
      <c r="Z686" s="30"/>
    </row>
    <row r="687" spans="12:26" x14ac:dyDescent="0.5">
      <c r="L687" s="30"/>
      <c r="Y687" s="30"/>
      <c r="Z687" s="30"/>
    </row>
    <row r="688" spans="12:26" x14ac:dyDescent="0.5">
      <c r="L688" s="30"/>
      <c r="Y688" s="30"/>
      <c r="Z688" s="30"/>
    </row>
    <row r="689" spans="12:26" x14ac:dyDescent="0.5">
      <c r="L689" s="30"/>
      <c r="Y689" s="30"/>
      <c r="Z689" s="30"/>
    </row>
    <row r="690" spans="12:26" x14ac:dyDescent="0.5">
      <c r="L690" s="30"/>
      <c r="Y690" s="30"/>
      <c r="Z690" s="30"/>
    </row>
    <row r="691" spans="12:26" x14ac:dyDescent="0.5">
      <c r="L691" s="30"/>
      <c r="Y691" s="30"/>
      <c r="Z691" s="30"/>
    </row>
    <row r="692" spans="12:26" x14ac:dyDescent="0.5">
      <c r="L692" s="30"/>
      <c r="Y692" s="30"/>
      <c r="Z692" s="30"/>
    </row>
    <row r="693" spans="12:26" x14ac:dyDescent="0.5">
      <c r="L693" s="30"/>
      <c r="Y693" s="30"/>
      <c r="Z693" s="30"/>
    </row>
    <row r="694" spans="12:26" x14ac:dyDescent="0.5">
      <c r="L694" s="30"/>
      <c r="Y694" s="30"/>
      <c r="Z694" s="30"/>
    </row>
    <row r="695" spans="12:26" x14ac:dyDescent="0.5">
      <c r="L695" s="30"/>
      <c r="Y695" s="30"/>
      <c r="Z695" s="30"/>
    </row>
    <row r="696" spans="12:26" x14ac:dyDescent="0.5">
      <c r="L696" s="30"/>
      <c r="Y696" s="30"/>
      <c r="Z696" s="30"/>
    </row>
    <row r="697" spans="12:26" x14ac:dyDescent="0.5">
      <c r="L697" s="30"/>
      <c r="Y697" s="30"/>
      <c r="Z697" s="30"/>
    </row>
    <row r="698" spans="12:26" x14ac:dyDescent="0.5">
      <c r="L698" s="30"/>
      <c r="Y698" s="30"/>
      <c r="Z698" s="30"/>
    </row>
    <row r="699" spans="12:26" x14ac:dyDescent="0.5">
      <c r="L699" s="30"/>
      <c r="Y699" s="30"/>
      <c r="Z699" s="30"/>
    </row>
    <row r="700" spans="12:26" x14ac:dyDescent="0.5">
      <c r="L700" s="30"/>
      <c r="Y700" s="30"/>
      <c r="Z700" s="30"/>
    </row>
    <row r="701" spans="12:26" x14ac:dyDescent="0.5">
      <c r="L701" s="30"/>
      <c r="Y701" s="30"/>
      <c r="Z701" s="30"/>
    </row>
    <row r="702" spans="12:26" x14ac:dyDescent="0.5">
      <c r="L702" s="30"/>
      <c r="Y702" s="30"/>
      <c r="Z702" s="30"/>
    </row>
    <row r="703" spans="12:26" x14ac:dyDescent="0.5">
      <c r="L703" s="30"/>
      <c r="Y703" s="30"/>
      <c r="Z703" s="30"/>
    </row>
    <row r="704" spans="12:26" x14ac:dyDescent="0.5">
      <c r="L704" s="30"/>
      <c r="Y704" s="30"/>
      <c r="Z704" s="30"/>
    </row>
    <row r="705" spans="12:26" x14ac:dyDescent="0.5">
      <c r="L705" s="30"/>
      <c r="Y705" s="30"/>
      <c r="Z705" s="30"/>
    </row>
    <row r="706" spans="12:26" x14ac:dyDescent="0.5">
      <c r="L706" s="30"/>
      <c r="Y706" s="30"/>
      <c r="Z706" s="30"/>
    </row>
    <row r="707" spans="12:26" x14ac:dyDescent="0.5">
      <c r="L707" s="30"/>
      <c r="Y707" s="30"/>
      <c r="Z707" s="30"/>
    </row>
    <row r="708" spans="12:26" x14ac:dyDescent="0.5">
      <c r="L708" s="30"/>
      <c r="Y708" s="30"/>
      <c r="Z708" s="30"/>
    </row>
    <row r="709" spans="12:26" x14ac:dyDescent="0.5">
      <c r="L709" s="30"/>
      <c r="Y709" s="30"/>
      <c r="Z709" s="30"/>
    </row>
    <row r="710" spans="12:26" x14ac:dyDescent="0.5">
      <c r="L710" s="30"/>
      <c r="Y710" s="30"/>
      <c r="Z710" s="30"/>
    </row>
    <row r="711" spans="12:26" x14ac:dyDescent="0.5">
      <c r="L711" s="30"/>
      <c r="Y711" s="30"/>
      <c r="Z711" s="30"/>
    </row>
    <row r="712" spans="12:26" x14ac:dyDescent="0.5">
      <c r="L712" s="30"/>
      <c r="Y712" s="30"/>
      <c r="Z712" s="30"/>
    </row>
    <row r="713" spans="12:26" x14ac:dyDescent="0.5">
      <c r="L713" s="30"/>
      <c r="Y713" s="30"/>
      <c r="Z713" s="30"/>
    </row>
    <row r="714" spans="12:26" x14ac:dyDescent="0.5">
      <c r="L714" s="30"/>
      <c r="Y714" s="30"/>
      <c r="Z714" s="30"/>
    </row>
    <row r="715" spans="12:26" x14ac:dyDescent="0.5">
      <c r="L715" s="30"/>
      <c r="Y715" s="30"/>
      <c r="Z715" s="30"/>
    </row>
    <row r="716" spans="12:26" x14ac:dyDescent="0.5">
      <c r="L716" s="30"/>
      <c r="Y716" s="30"/>
      <c r="Z716" s="30"/>
    </row>
    <row r="717" spans="12:26" x14ac:dyDescent="0.5">
      <c r="L717" s="30"/>
      <c r="Y717" s="30"/>
      <c r="Z717" s="30"/>
    </row>
    <row r="718" spans="12:26" x14ac:dyDescent="0.5">
      <c r="L718" s="30"/>
      <c r="Y718" s="30"/>
      <c r="Z718" s="30"/>
    </row>
    <row r="719" spans="12:26" x14ac:dyDescent="0.5">
      <c r="L719" s="30"/>
      <c r="Y719" s="30"/>
      <c r="Z719" s="30"/>
    </row>
    <row r="720" spans="12:26" x14ac:dyDescent="0.5">
      <c r="L720" s="30"/>
      <c r="Y720" s="30"/>
      <c r="Z720" s="30"/>
    </row>
    <row r="721" spans="12:26" x14ac:dyDescent="0.5">
      <c r="L721" s="30"/>
      <c r="Y721" s="30"/>
      <c r="Z721" s="30"/>
    </row>
    <row r="722" spans="12:26" x14ac:dyDescent="0.5">
      <c r="L722" s="30"/>
      <c r="Y722" s="30"/>
      <c r="Z722" s="30"/>
    </row>
    <row r="723" spans="12:26" x14ac:dyDescent="0.5">
      <c r="L723" s="30"/>
      <c r="Y723" s="30"/>
      <c r="Z723" s="30"/>
    </row>
    <row r="724" spans="12:26" x14ac:dyDescent="0.5">
      <c r="L724" s="30"/>
      <c r="Y724" s="30"/>
      <c r="Z724" s="30"/>
    </row>
    <row r="725" spans="12:26" x14ac:dyDescent="0.5">
      <c r="L725" s="30"/>
      <c r="Y725" s="30"/>
      <c r="Z725" s="30"/>
    </row>
    <row r="726" spans="12:26" x14ac:dyDescent="0.5">
      <c r="L726" s="30"/>
      <c r="Y726" s="30"/>
      <c r="Z726" s="30"/>
    </row>
    <row r="727" spans="12:26" x14ac:dyDescent="0.5">
      <c r="L727" s="30"/>
      <c r="Y727" s="30"/>
      <c r="Z727" s="30"/>
    </row>
    <row r="728" spans="12:26" x14ac:dyDescent="0.5">
      <c r="L728" s="30"/>
      <c r="Y728" s="30"/>
      <c r="Z728" s="30"/>
    </row>
    <row r="729" spans="12:26" x14ac:dyDescent="0.5">
      <c r="L729" s="30"/>
      <c r="Y729" s="30"/>
      <c r="Z729" s="30"/>
    </row>
    <row r="730" spans="12:26" x14ac:dyDescent="0.5">
      <c r="L730" s="30"/>
      <c r="Y730" s="30"/>
      <c r="Z730" s="30"/>
    </row>
    <row r="731" spans="12:26" x14ac:dyDescent="0.5">
      <c r="L731" s="30"/>
      <c r="Y731" s="30"/>
      <c r="Z731" s="30"/>
    </row>
    <row r="732" spans="12:26" x14ac:dyDescent="0.5">
      <c r="L732" s="30"/>
      <c r="Y732" s="30"/>
      <c r="Z732" s="30"/>
    </row>
    <row r="733" spans="12:26" x14ac:dyDescent="0.5">
      <c r="L733" s="30"/>
      <c r="Y733" s="30"/>
      <c r="Z733" s="30"/>
    </row>
    <row r="734" spans="12:26" x14ac:dyDescent="0.5">
      <c r="L734" s="30"/>
      <c r="Y734" s="30"/>
      <c r="Z734" s="30"/>
    </row>
    <row r="735" spans="12:26" x14ac:dyDescent="0.5">
      <c r="L735" s="30"/>
      <c r="Y735" s="30"/>
      <c r="Z735" s="30"/>
    </row>
    <row r="736" spans="12:26" x14ac:dyDescent="0.5">
      <c r="L736" s="30"/>
      <c r="Y736" s="30"/>
      <c r="Z736" s="30"/>
    </row>
    <row r="737" spans="12:26" x14ac:dyDescent="0.5">
      <c r="L737" s="30"/>
      <c r="Y737" s="30"/>
      <c r="Z737" s="30"/>
    </row>
    <row r="738" spans="12:26" x14ac:dyDescent="0.5">
      <c r="L738" s="30"/>
      <c r="Y738" s="30"/>
      <c r="Z738" s="30"/>
    </row>
    <row r="739" spans="12:26" x14ac:dyDescent="0.5">
      <c r="L739" s="30"/>
      <c r="Y739" s="30"/>
      <c r="Z739" s="30"/>
    </row>
    <row r="740" spans="12:26" x14ac:dyDescent="0.5">
      <c r="L740" s="30"/>
      <c r="Y740" s="30"/>
      <c r="Z740" s="30"/>
    </row>
    <row r="741" spans="12:26" x14ac:dyDescent="0.5">
      <c r="L741" s="30"/>
      <c r="Y741" s="30"/>
      <c r="Z741" s="30"/>
    </row>
    <row r="742" spans="12:26" x14ac:dyDescent="0.5">
      <c r="L742" s="30"/>
      <c r="Y742" s="30"/>
      <c r="Z742" s="30"/>
    </row>
    <row r="743" spans="12:26" x14ac:dyDescent="0.5">
      <c r="L743" s="30"/>
      <c r="Y743" s="30"/>
      <c r="Z743" s="30"/>
    </row>
    <row r="744" spans="12:26" x14ac:dyDescent="0.5">
      <c r="L744" s="30"/>
      <c r="Y744" s="30"/>
      <c r="Z744" s="30"/>
    </row>
    <row r="745" spans="12:26" x14ac:dyDescent="0.5">
      <c r="L745" s="30"/>
      <c r="Y745" s="30"/>
      <c r="Z745" s="30"/>
    </row>
    <row r="746" spans="12:26" x14ac:dyDescent="0.5">
      <c r="L746" s="30"/>
      <c r="Y746" s="30"/>
      <c r="Z746" s="30"/>
    </row>
    <row r="747" spans="12:26" x14ac:dyDescent="0.5">
      <c r="L747" s="30"/>
      <c r="Y747" s="30"/>
      <c r="Z747" s="30"/>
    </row>
    <row r="748" spans="12:26" x14ac:dyDescent="0.5">
      <c r="L748" s="30"/>
      <c r="Y748" s="30"/>
      <c r="Z748" s="30"/>
    </row>
    <row r="749" spans="12:26" x14ac:dyDescent="0.5">
      <c r="L749" s="30"/>
      <c r="Y749" s="30"/>
      <c r="Z749" s="30"/>
    </row>
    <row r="750" spans="12:26" x14ac:dyDescent="0.5">
      <c r="L750" s="30"/>
      <c r="Y750" s="30"/>
      <c r="Z750" s="30"/>
    </row>
    <row r="751" spans="12:26" x14ac:dyDescent="0.5">
      <c r="L751" s="30"/>
      <c r="Y751" s="30"/>
      <c r="Z751" s="30"/>
    </row>
    <row r="752" spans="12:26" x14ac:dyDescent="0.5">
      <c r="L752" s="30"/>
      <c r="Y752" s="30"/>
      <c r="Z752" s="30"/>
    </row>
    <row r="753" spans="12:26" x14ac:dyDescent="0.5">
      <c r="L753" s="30"/>
      <c r="Y753" s="30"/>
      <c r="Z753" s="30"/>
    </row>
    <row r="754" spans="12:26" x14ac:dyDescent="0.5">
      <c r="L754" s="30"/>
      <c r="Y754" s="30"/>
      <c r="Z754" s="30"/>
    </row>
    <row r="755" spans="12:26" x14ac:dyDescent="0.5">
      <c r="L755" s="30"/>
      <c r="Y755" s="30"/>
      <c r="Z755" s="30"/>
    </row>
    <row r="756" spans="12:26" x14ac:dyDescent="0.5">
      <c r="L756" s="30"/>
      <c r="Y756" s="30"/>
      <c r="Z756" s="30"/>
    </row>
    <row r="757" spans="12:26" x14ac:dyDescent="0.5">
      <c r="L757" s="30"/>
      <c r="Y757" s="30"/>
      <c r="Z757" s="30"/>
    </row>
    <row r="758" spans="12:26" x14ac:dyDescent="0.5">
      <c r="L758" s="30"/>
      <c r="Y758" s="30"/>
      <c r="Z758" s="30"/>
    </row>
    <row r="759" spans="12:26" x14ac:dyDescent="0.5">
      <c r="L759" s="30"/>
      <c r="Y759" s="30"/>
      <c r="Z759" s="30"/>
    </row>
    <row r="760" spans="12:26" x14ac:dyDescent="0.5">
      <c r="L760" s="30"/>
      <c r="Y760" s="30"/>
      <c r="Z760" s="30"/>
    </row>
    <row r="761" spans="12:26" x14ac:dyDescent="0.5">
      <c r="L761" s="30"/>
      <c r="Y761" s="30"/>
      <c r="Z761" s="30"/>
    </row>
    <row r="762" spans="12:26" x14ac:dyDescent="0.5">
      <c r="L762" s="30"/>
      <c r="Y762" s="30"/>
      <c r="Z762" s="30"/>
    </row>
    <row r="763" spans="12:26" x14ac:dyDescent="0.5">
      <c r="L763" s="30"/>
      <c r="Y763" s="30"/>
      <c r="Z763" s="30"/>
    </row>
    <row r="764" spans="12:26" x14ac:dyDescent="0.5">
      <c r="L764" s="30"/>
      <c r="Y764" s="30"/>
      <c r="Z764" s="30"/>
    </row>
    <row r="765" spans="12:26" x14ac:dyDescent="0.5">
      <c r="L765" s="30"/>
      <c r="Y765" s="30"/>
      <c r="Z765" s="30"/>
    </row>
    <row r="766" spans="12:26" x14ac:dyDescent="0.5">
      <c r="L766" s="30"/>
      <c r="Y766" s="30"/>
      <c r="Z766" s="30"/>
    </row>
    <row r="767" spans="12:26" x14ac:dyDescent="0.5">
      <c r="L767" s="30"/>
      <c r="Y767" s="30"/>
      <c r="Z767" s="30"/>
    </row>
    <row r="768" spans="12:26" x14ac:dyDescent="0.5">
      <c r="L768" s="30"/>
      <c r="Y768" s="30"/>
      <c r="Z768" s="30"/>
    </row>
    <row r="769" spans="12:26" x14ac:dyDescent="0.5">
      <c r="L769" s="30"/>
      <c r="Y769" s="30"/>
      <c r="Z769" s="30"/>
    </row>
    <row r="770" spans="12:26" x14ac:dyDescent="0.5">
      <c r="L770" s="30"/>
      <c r="Y770" s="30"/>
      <c r="Z770" s="30"/>
    </row>
    <row r="771" spans="12:26" x14ac:dyDescent="0.5">
      <c r="L771" s="30"/>
      <c r="Y771" s="30"/>
      <c r="Z771" s="30"/>
    </row>
    <row r="772" spans="12:26" x14ac:dyDescent="0.5">
      <c r="L772" s="30"/>
      <c r="Y772" s="30"/>
      <c r="Z772" s="30"/>
    </row>
    <row r="773" spans="12:26" x14ac:dyDescent="0.5">
      <c r="L773" s="30"/>
      <c r="Y773" s="30"/>
      <c r="Z773" s="30"/>
    </row>
    <row r="774" spans="12:26" x14ac:dyDescent="0.5">
      <c r="L774" s="30"/>
      <c r="Y774" s="30"/>
      <c r="Z774" s="30"/>
    </row>
    <row r="775" spans="12:26" x14ac:dyDescent="0.5">
      <c r="L775" s="30"/>
      <c r="Y775" s="30"/>
      <c r="Z775" s="30"/>
    </row>
    <row r="776" spans="12:26" x14ac:dyDescent="0.5">
      <c r="L776" s="30"/>
      <c r="Y776" s="30"/>
      <c r="Z776" s="30"/>
    </row>
    <row r="777" spans="12:26" x14ac:dyDescent="0.5">
      <c r="L777" s="30"/>
      <c r="Y777" s="30"/>
      <c r="Z777" s="30"/>
    </row>
    <row r="778" spans="12:26" x14ac:dyDescent="0.5">
      <c r="L778" s="30"/>
      <c r="Y778" s="30"/>
      <c r="Z778" s="30"/>
    </row>
    <row r="779" spans="12:26" x14ac:dyDescent="0.5">
      <c r="L779" s="30"/>
      <c r="Y779" s="30"/>
      <c r="Z779" s="30"/>
    </row>
    <row r="780" spans="12:26" x14ac:dyDescent="0.5">
      <c r="L780" s="30"/>
      <c r="Y780" s="30"/>
      <c r="Z780" s="30"/>
    </row>
    <row r="781" spans="12:26" x14ac:dyDescent="0.5">
      <c r="L781" s="30"/>
      <c r="Y781" s="30"/>
      <c r="Z781" s="30"/>
    </row>
    <row r="782" spans="12:26" x14ac:dyDescent="0.5">
      <c r="L782" s="30"/>
      <c r="Y782" s="30"/>
      <c r="Z782" s="30"/>
    </row>
    <row r="783" spans="12:26" x14ac:dyDescent="0.5">
      <c r="L783" s="30"/>
      <c r="Y783" s="30"/>
      <c r="Z783" s="30"/>
    </row>
    <row r="784" spans="12:26" x14ac:dyDescent="0.5">
      <c r="L784" s="30"/>
      <c r="Y784" s="30"/>
      <c r="Z784" s="30"/>
    </row>
    <row r="785" spans="12:26" x14ac:dyDescent="0.5">
      <c r="L785" s="30"/>
      <c r="Y785" s="30"/>
      <c r="Z785" s="30"/>
    </row>
    <row r="786" spans="12:26" x14ac:dyDescent="0.5">
      <c r="L786" s="30"/>
      <c r="Y786" s="30"/>
      <c r="Z786" s="30"/>
    </row>
    <row r="787" spans="12:26" x14ac:dyDescent="0.5">
      <c r="L787" s="30"/>
      <c r="Y787" s="30"/>
      <c r="Z787" s="30"/>
    </row>
    <row r="788" spans="12:26" x14ac:dyDescent="0.5">
      <c r="L788" s="30"/>
      <c r="Y788" s="30"/>
      <c r="Z788" s="30"/>
    </row>
    <row r="789" spans="12:26" x14ac:dyDescent="0.5">
      <c r="L789" s="30"/>
      <c r="Y789" s="30"/>
      <c r="Z789" s="30"/>
    </row>
    <row r="790" spans="12:26" x14ac:dyDescent="0.5">
      <c r="L790" s="30"/>
      <c r="Y790" s="30"/>
      <c r="Z790" s="30"/>
    </row>
    <row r="791" spans="12:26" x14ac:dyDescent="0.5">
      <c r="L791" s="30"/>
      <c r="Y791" s="30"/>
      <c r="Z791" s="30"/>
    </row>
    <row r="792" spans="12:26" x14ac:dyDescent="0.5">
      <c r="L792" s="30"/>
      <c r="Y792" s="30"/>
      <c r="Z792" s="30"/>
    </row>
    <row r="793" spans="12:26" x14ac:dyDescent="0.5">
      <c r="L793" s="30"/>
      <c r="Y793" s="30"/>
      <c r="Z793" s="30"/>
    </row>
    <row r="794" spans="12:26" x14ac:dyDescent="0.5">
      <c r="L794" s="30"/>
      <c r="Y794" s="30"/>
      <c r="Z794" s="30"/>
    </row>
    <row r="795" spans="12:26" x14ac:dyDescent="0.5">
      <c r="L795" s="30"/>
      <c r="Y795" s="30"/>
      <c r="Z795" s="30"/>
    </row>
    <row r="796" spans="12:26" x14ac:dyDescent="0.5">
      <c r="L796" s="30"/>
      <c r="Y796" s="30"/>
      <c r="Z796" s="30"/>
    </row>
    <row r="797" spans="12:26" x14ac:dyDescent="0.5">
      <c r="L797" s="30"/>
      <c r="Y797" s="30"/>
      <c r="Z797" s="30"/>
    </row>
    <row r="798" spans="12:26" x14ac:dyDescent="0.5">
      <c r="L798" s="30"/>
      <c r="Y798" s="30"/>
      <c r="Z798" s="30"/>
    </row>
    <row r="799" spans="12:26" x14ac:dyDescent="0.5">
      <c r="L799" s="30"/>
      <c r="Y799" s="30"/>
      <c r="Z799" s="30"/>
    </row>
    <row r="800" spans="12:26" x14ac:dyDescent="0.5">
      <c r="L800" s="30"/>
      <c r="Y800" s="30"/>
      <c r="Z800" s="30"/>
    </row>
    <row r="801" spans="12:26" x14ac:dyDescent="0.5">
      <c r="L801" s="30"/>
      <c r="Y801" s="30"/>
      <c r="Z801" s="30"/>
    </row>
    <row r="802" spans="12:26" x14ac:dyDescent="0.5">
      <c r="L802" s="30"/>
      <c r="Y802" s="30"/>
      <c r="Z802" s="30"/>
    </row>
    <row r="803" spans="12:26" x14ac:dyDescent="0.5">
      <c r="L803" s="30"/>
      <c r="Y803" s="30"/>
      <c r="Z803" s="30"/>
    </row>
    <row r="804" spans="12:26" x14ac:dyDescent="0.5">
      <c r="L804" s="30"/>
      <c r="Y804" s="30"/>
      <c r="Z804" s="30"/>
    </row>
    <row r="805" spans="12:26" x14ac:dyDescent="0.5">
      <c r="L805" s="30"/>
      <c r="Y805" s="30"/>
      <c r="Z805" s="30"/>
    </row>
    <row r="806" spans="12:26" x14ac:dyDescent="0.5">
      <c r="L806" s="30"/>
      <c r="Y806" s="30"/>
      <c r="Z806" s="30"/>
    </row>
    <row r="807" spans="12:26" x14ac:dyDescent="0.5">
      <c r="L807" s="30"/>
      <c r="Y807" s="30"/>
      <c r="Z807" s="30"/>
    </row>
    <row r="808" spans="12:26" x14ac:dyDescent="0.5">
      <c r="L808" s="30"/>
      <c r="Y808" s="30"/>
      <c r="Z808" s="30"/>
    </row>
    <row r="809" spans="12:26" x14ac:dyDescent="0.5">
      <c r="L809" s="30"/>
      <c r="Y809" s="30"/>
      <c r="Z809" s="30"/>
    </row>
    <row r="810" spans="12:26" x14ac:dyDescent="0.5">
      <c r="L810" s="30"/>
      <c r="Y810" s="30"/>
      <c r="Z810" s="30"/>
    </row>
    <row r="811" spans="12:26" x14ac:dyDescent="0.5">
      <c r="L811" s="30"/>
      <c r="Y811" s="30"/>
      <c r="Z811" s="30"/>
    </row>
    <row r="812" spans="12:26" x14ac:dyDescent="0.5">
      <c r="L812" s="30"/>
      <c r="Y812" s="30"/>
      <c r="Z812" s="30"/>
    </row>
    <row r="813" spans="12:26" x14ac:dyDescent="0.5">
      <c r="L813" s="30"/>
      <c r="Y813" s="30"/>
      <c r="Z813" s="30"/>
    </row>
    <row r="814" spans="12:26" x14ac:dyDescent="0.5">
      <c r="L814" s="30"/>
      <c r="Y814" s="30"/>
      <c r="Z814" s="30"/>
    </row>
    <row r="815" spans="12:26" x14ac:dyDescent="0.5">
      <c r="L815" s="30"/>
      <c r="Y815" s="30"/>
      <c r="Z815" s="30"/>
    </row>
    <row r="816" spans="12:26" x14ac:dyDescent="0.5">
      <c r="L816" s="30"/>
      <c r="Y816" s="30"/>
      <c r="Z816" s="30"/>
    </row>
    <row r="817" spans="12:26" x14ac:dyDescent="0.5">
      <c r="L817" s="30"/>
      <c r="Y817" s="30"/>
      <c r="Z817" s="30"/>
    </row>
    <row r="818" spans="12:26" x14ac:dyDescent="0.5">
      <c r="L818" s="30"/>
      <c r="Y818" s="30"/>
      <c r="Z818" s="30"/>
    </row>
    <row r="819" spans="12:26" x14ac:dyDescent="0.5">
      <c r="L819" s="30"/>
      <c r="Y819" s="30"/>
      <c r="Z819" s="30"/>
    </row>
    <row r="820" spans="12:26" x14ac:dyDescent="0.5">
      <c r="L820" s="30"/>
      <c r="Y820" s="30"/>
      <c r="Z820" s="30"/>
    </row>
    <row r="821" spans="12:26" x14ac:dyDescent="0.5">
      <c r="L821" s="30"/>
      <c r="Y821" s="30"/>
      <c r="Z821" s="30"/>
    </row>
    <row r="822" spans="12:26" x14ac:dyDescent="0.5">
      <c r="L822" s="30"/>
      <c r="Y822" s="30"/>
      <c r="Z822" s="30"/>
    </row>
    <row r="823" spans="12:26" x14ac:dyDescent="0.5">
      <c r="L823" s="30"/>
      <c r="Y823" s="30"/>
      <c r="Z823" s="30"/>
    </row>
    <row r="824" spans="12:26" x14ac:dyDescent="0.5">
      <c r="L824" s="30"/>
      <c r="Y824" s="30"/>
      <c r="Z824" s="30"/>
    </row>
    <row r="825" spans="12:26" x14ac:dyDescent="0.5">
      <c r="L825" s="30"/>
      <c r="Y825" s="30"/>
      <c r="Z825" s="30"/>
    </row>
    <row r="826" spans="12:26" x14ac:dyDescent="0.5">
      <c r="L826" s="30"/>
      <c r="Y826" s="30"/>
      <c r="Z826" s="30"/>
    </row>
    <row r="827" spans="12:26" x14ac:dyDescent="0.5">
      <c r="L827" s="30"/>
      <c r="Y827" s="30"/>
      <c r="Z827" s="30"/>
    </row>
    <row r="828" spans="12:26" x14ac:dyDescent="0.5">
      <c r="L828" s="30"/>
      <c r="Y828" s="30"/>
      <c r="Z828" s="30"/>
    </row>
    <row r="829" spans="12:26" x14ac:dyDescent="0.5">
      <c r="L829" s="30"/>
      <c r="Y829" s="30"/>
      <c r="Z829" s="30"/>
    </row>
    <row r="830" spans="12:26" x14ac:dyDescent="0.5">
      <c r="L830" s="30"/>
      <c r="Y830" s="30"/>
      <c r="Z830" s="30"/>
    </row>
    <row r="831" spans="12:26" x14ac:dyDescent="0.5">
      <c r="L831" s="30"/>
      <c r="Y831" s="30"/>
      <c r="Z831" s="30"/>
    </row>
    <row r="832" spans="12:26" x14ac:dyDescent="0.5">
      <c r="L832" s="30"/>
      <c r="Y832" s="30"/>
      <c r="Z832" s="30"/>
    </row>
    <row r="833" spans="12:26" x14ac:dyDescent="0.5">
      <c r="L833" s="30"/>
      <c r="Y833" s="30"/>
      <c r="Z833" s="30"/>
    </row>
    <row r="834" spans="12:26" x14ac:dyDescent="0.5">
      <c r="L834" s="30"/>
      <c r="Y834" s="30"/>
      <c r="Z834" s="30"/>
    </row>
    <row r="835" spans="12:26" x14ac:dyDescent="0.5">
      <c r="L835" s="30"/>
      <c r="Y835" s="30"/>
      <c r="Z835" s="30"/>
    </row>
    <row r="836" spans="12:26" x14ac:dyDescent="0.5">
      <c r="L836" s="30"/>
      <c r="Y836" s="30"/>
      <c r="Z836" s="30"/>
    </row>
    <row r="837" spans="12:26" x14ac:dyDescent="0.5">
      <c r="L837" s="30"/>
      <c r="Y837" s="30"/>
      <c r="Z837" s="30"/>
    </row>
    <row r="838" spans="12:26" x14ac:dyDescent="0.5">
      <c r="L838" s="30"/>
      <c r="Y838" s="30"/>
      <c r="Z838" s="30"/>
    </row>
    <row r="839" spans="12:26" x14ac:dyDescent="0.5">
      <c r="L839" s="30"/>
      <c r="Y839" s="30"/>
      <c r="Z839" s="30"/>
    </row>
    <row r="840" spans="12:26" x14ac:dyDescent="0.5">
      <c r="L840" s="30"/>
      <c r="Y840" s="30"/>
      <c r="Z840" s="30"/>
    </row>
    <row r="841" spans="12:26" x14ac:dyDescent="0.5">
      <c r="L841" s="30"/>
      <c r="Y841" s="30"/>
      <c r="Z841" s="30"/>
    </row>
    <row r="842" spans="12:26" x14ac:dyDescent="0.5">
      <c r="L842" s="30"/>
      <c r="Y842" s="30"/>
      <c r="Z842" s="30"/>
    </row>
    <row r="843" spans="12:26" x14ac:dyDescent="0.5">
      <c r="L843" s="30"/>
      <c r="Y843" s="30"/>
      <c r="Z843" s="30"/>
    </row>
    <row r="844" spans="12:26" x14ac:dyDescent="0.5">
      <c r="L844" s="30"/>
      <c r="Y844" s="30"/>
      <c r="Z844" s="30"/>
    </row>
    <row r="845" spans="12:26" x14ac:dyDescent="0.5">
      <c r="L845" s="30"/>
      <c r="Y845" s="30"/>
      <c r="Z845" s="30"/>
    </row>
    <row r="846" spans="12:26" x14ac:dyDescent="0.5">
      <c r="L846" s="30"/>
      <c r="Y846" s="30"/>
      <c r="Z846" s="30"/>
    </row>
    <row r="847" spans="12:26" x14ac:dyDescent="0.5">
      <c r="L847" s="30"/>
      <c r="Y847" s="30"/>
      <c r="Z847" s="30"/>
    </row>
    <row r="848" spans="12:26" x14ac:dyDescent="0.5">
      <c r="L848" s="30"/>
      <c r="Y848" s="30"/>
      <c r="Z848" s="30"/>
    </row>
    <row r="849" spans="12:26" x14ac:dyDescent="0.5">
      <c r="L849" s="30"/>
      <c r="Y849" s="30"/>
      <c r="Z849" s="30"/>
    </row>
    <row r="850" spans="12:26" x14ac:dyDescent="0.5">
      <c r="L850" s="30"/>
      <c r="Y850" s="30"/>
      <c r="Z850" s="30"/>
    </row>
    <row r="851" spans="12:26" x14ac:dyDescent="0.5">
      <c r="L851" s="30"/>
      <c r="Y851" s="30"/>
      <c r="Z851" s="30"/>
    </row>
    <row r="852" spans="12:26" x14ac:dyDescent="0.5">
      <c r="L852" s="30"/>
      <c r="Y852" s="30"/>
      <c r="Z852" s="30"/>
    </row>
    <row r="853" spans="12:26" x14ac:dyDescent="0.5">
      <c r="L853" s="30"/>
      <c r="Y853" s="30"/>
      <c r="Z853" s="30"/>
    </row>
    <row r="854" spans="12:26" x14ac:dyDescent="0.5">
      <c r="L854" s="30"/>
      <c r="Y854" s="30"/>
      <c r="Z854" s="30"/>
    </row>
    <row r="855" spans="12:26" x14ac:dyDescent="0.5">
      <c r="L855" s="30"/>
      <c r="Y855" s="30"/>
      <c r="Z855" s="30"/>
    </row>
    <row r="856" spans="12:26" x14ac:dyDescent="0.5">
      <c r="L856" s="30"/>
      <c r="Y856" s="30"/>
      <c r="Z856" s="30"/>
    </row>
    <row r="857" spans="12:26" x14ac:dyDescent="0.5">
      <c r="L857" s="30"/>
      <c r="Y857" s="30"/>
      <c r="Z857" s="30"/>
    </row>
    <row r="858" spans="12:26" x14ac:dyDescent="0.5">
      <c r="L858" s="30"/>
      <c r="Y858" s="30"/>
      <c r="Z858" s="30"/>
    </row>
    <row r="859" spans="12:26" x14ac:dyDescent="0.5">
      <c r="L859" s="30"/>
      <c r="Y859" s="30"/>
      <c r="Z859" s="30"/>
    </row>
    <row r="860" spans="12:26" x14ac:dyDescent="0.5">
      <c r="L860" s="30"/>
      <c r="Y860" s="30"/>
      <c r="Z860" s="30"/>
    </row>
    <row r="861" spans="12:26" x14ac:dyDescent="0.5">
      <c r="L861" s="30"/>
      <c r="Y861" s="30"/>
      <c r="Z861" s="30"/>
    </row>
    <row r="862" spans="12:26" x14ac:dyDescent="0.5">
      <c r="L862" s="30"/>
      <c r="Y862" s="30"/>
      <c r="Z862" s="30"/>
    </row>
    <row r="863" spans="12:26" x14ac:dyDescent="0.5">
      <c r="L863" s="30"/>
      <c r="Y863" s="30"/>
      <c r="Z863" s="30"/>
    </row>
    <row r="864" spans="12:26" x14ac:dyDescent="0.5">
      <c r="L864" s="30"/>
      <c r="Y864" s="30"/>
      <c r="Z864" s="30"/>
    </row>
    <row r="865" spans="12:26" x14ac:dyDescent="0.5">
      <c r="L865" s="30"/>
      <c r="Y865" s="30"/>
      <c r="Z865" s="30"/>
    </row>
    <row r="866" spans="12:26" x14ac:dyDescent="0.5">
      <c r="L866" s="30"/>
      <c r="Y866" s="30"/>
      <c r="Z866" s="30"/>
    </row>
    <row r="867" spans="12:26" x14ac:dyDescent="0.5">
      <c r="L867" s="30"/>
      <c r="Y867" s="30"/>
      <c r="Z867" s="30"/>
    </row>
    <row r="868" spans="12:26" x14ac:dyDescent="0.5">
      <c r="L868" s="30"/>
      <c r="Y868" s="30"/>
      <c r="Z868" s="30"/>
    </row>
    <row r="869" spans="12:26" x14ac:dyDescent="0.5">
      <c r="L869" s="30"/>
      <c r="Y869" s="30"/>
      <c r="Z869" s="30"/>
    </row>
    <row r="870" spans="12:26" x14ac:dyDescent="0.5">
      <c r="L870" s="30"/>
      <c r="Y870" s="30"/>
      <c r="Z870" s="30"/>
    </row>
    <row r="871" spans="12:26" x14ac:dyDescent="0.5">
      <c r="L871" s="30"/>
      <c r="Y871" s="30"/>
      <c r="Z871" s="30"/>
    </row>
    <row r="872" spans="12:26" x14ac:dyDescent="0.5">
      <c r="L872" s="30"/>
      <c r="Y872" s="30"/>
      <c r="Z872" s="30"/>
    </row>
    <row r="873" spans="12:26" x14ac:dyDescent="0.5">
      <c r="L873" s="30"/>
      <c r="Y873" s="30"/>
      <c r="Z873" s="30"/>
    </row>
    <row r="874" spans="12:26" x14ac:dyDescent="0.5">
      <c r="L874" s="30"/>
      <c r="Y874" s="30"/>
      <c r="Z874" s="30"/>
    </row>
    <row r="875" spans="12:26" x14ac:dyDescent="0.5">
      <c r="L875" s="30"/>
      <c r="Y875" s="30"/>
      <c r="Z875" s="30"/>
    </row>
    <row r="876" spans="12:26" x14ac:dyDescent="0.5">
      <c r="L876" s="30"/>
      <c r="Y876" s="30"/>
      <c r="Z876" s="30"/>
    </row>
    <row r="877" spans="12:26" x14ac:dyDescent="0.5">
      <c r="L877" s="30"/>
      <c r="Y877" s="30"/>
      <c r="Z877" s="30"/>
    </row>
    <row r="878" spans="12:26" x14ac:dyDescent="0.5">
      <c r="L878" s="30"/>
      <c r="Y878" s="30"/>
      <c r="Z878" s="30"/>
    </row>
    <row r="879" spans="12:26" x14ac:dyDescent="0.5">
      <c r="L879" s="30"/>
      <c r="Y879" s="30"/>
      <c r="Z879" s="30"/>
    </row>
    <row r="880" spans="12:26" x14ac:dyDescent="0.5">
      <c r="L880" s="30"/>
      <c r="Y880" s="30"/>
      <c r="Z880" s="30"/>
    </row>
    <row r="881" spans="12:26" x14ac:dyDescent="0.5">
      <c r="L881" s="30"/>
      <c r="Y881" s="30"/>
      <c r="Z881" s="30"/>
    </row>
    <row r="882" spans="12:26" x14ac:dyDescent="0.5">
      <c r="L882" s="30"/>
      <c r="Y882" s="30"/>
      <c r="Z882" s="30"/>
    </row>
    <row r="883" spans="12:26" x14ac:dyDescent="0.5">
      <c r="L883" s="30"/>
      <c r="Y883" s="30"/>
      <c r="Z883" s="30"/>
    </row>
    <row r="884" spans="12:26" x14ac:dyDescent="0.5">
      <c r="L884" s="30"/>
      <c r="Y884" s="30"/>
      <c r="Z884" s="30"/>
    </row>
    <row r="885" spans="12:26" x14ac:dyDescent="0.5">
      <c r="L885" s="30"/>
      <c r="Y885" s="30"/>
      <c r="Z885" s="30"/>
    </row>
    <row r="886" spans="12:26" x14ac:dyDescent="0.5">
      <c r="L886" s="30"/>
      <c r="Y886" s="30"/>
      <c r="Z886" s="30"/>
    </row>
    <row r="887" spans="12:26" x14ac:dyDescent="0.5">
      <c r="L887" s="30"/>
      <c r="Y887" s="30"/>
      <c r="Z887" s="30"/>
    </row>
    <row r="888" spans="12:26" x14ac:dyDescent="0.5">
      <c r="L888" s="30"/>
      <c r="Y888" s="30"/>
      <c r="Z888" s="30"/>
    </row>
    <row r="889" spans="12:26" x14ac:dyDescent="0.5">
      <c r="L889" s="30"/>
      <c r="Y889" s="30"/>
      <c r="Z889" s="30"/>
    </row>
    <row r="890" spans="12:26" x14ac:dyDescent="0.5">
      <c r="L890" s="30"/>
      <c r="Y890" s="30"/>
      <c r="Z890" s="30"/>
    </row>
    <row r="891" spans="12:26" x14ac:dyDescent="0.5">
      <c r="L891" s="30"/>
      <c r="Y891" s="30"/>
      <c r="Z891" s="30"/>
    </row>
    <row r="892" spans="12:26" x14ac:dyDescent="0.5">
      <c r="L892" s="30"/>
      <c r="Y892" s="30"/>
      <c r="Z892" s="30"/>
    </row>
    <row r="893" spans="12:26" x14ac:dyDescent="0.5">
      <c r="L893" s="30"/>
      <c r="Y893" s="30"/>
      <c r="Z893" s="30"/>
    </row>
    <row r="894" spans="12:26" x14ac:dyDescent="0.5">
      <c r="L894" s="30"/>
      <c r="Y894" s="30"/>
      <c r="Z894" s="30"/>
    </row>
    <row r="895" spans="12:26" x14ac:dyDescent="0.5">
      <c r="L895" s="30"/>
      <c r="Y895" s="30"/>
      <c r="Z895" s="30"/>
    </row>
    <row r="896" spans="12:26" x14ac:dyDescent="0.5">
      <c r="L896" s="30"/>
      <c r="Y896" s="30"/>
      <c r="Z896" s="30"/>
    </row>
    <row r="897" spans="12:26" x14ac:dyDescent="0.5">
      <c r="L897" s="30"/>
      <c r="Y897" s="30"/>
      <c r="Z897" s="30"/>
    </row>
    <row r="898" spans="12:26" x14ac:dyDescent="0.5">
      <c r="L898" s="30"/>
      <c r="Y898" s="30"/>
      <c r="Z898" s="30"/>
    </row>
    <row r="899" spans="12:26" x14ac:dyDescent="0.5">
      <c r="L899" s="30"/>
      <c r="Y899" s="30"/>
      <c r="Z899" s="30"/>
    </row>
    <row r="900" spans="12:26" x14ac:dyDescent="0.5">
      <c r="L900" s="30"/>
      <c r="Y900" s="30"/>
      <c r="Z900" s="30"/>
    </row>
    <row r="901" spans="12:26" x14ac:dyDescent="0.5">
      <c r="L901" s="30"/>
      <c r="Y901" s="30"/>
      <c r="Z901" s="30"/>
    </row>
    <row r="902" spans="12:26" x14ac:dyDescent="0.5">
      <c r="L902" s="30"/>
      <c r="Y902" s="30"/>
      <c r="Z902" s="30"/>
    </row>
    <row r="903" spans="12:26" x14ac:dyDescent="0.5">
      <c r="L903" s="30"/>
      <c r="Y903" s="30"/>
      <c r="Z903" s="30"/>
    </row>
    <row r="904" spans="12:26" x14ac:dyDescent="0.5">
      <c r="L904" s="30"/>
      <c r="Y904" s="30"/>
      <c r="Z904" s="30"/>
    </row>
    <row r="905" spans="12:26" x14ac:dyDescent="0.5">
      <c r="L905" s="30"/>
      <c r="Y905" s="30"/>
      <c r="Z905" s="30"/>
    </row>
    <row r="906" spans="12:26" x14ac:dyDescent="0.5">
      <c r="L906" s="30"/>
      <c r="Y906" s="30"/>
      <c r="Z906" s="30"/>
    </row>
    <row r="907" spans="12:26" x14ac:dyDescent="0.5">
      <c r="L907" s="30"/>
      <c r="Y907" s="30"/>
      <c r="Z907" s="30"/>
    </row>
    <row r="908" spans="12:26" x14ac:dyDescent="0.5">
      <c r="L908" s="30"/>
      <c r="Y908" s="30"/>
      <c r="Z908" s="30"/>
    </row>
    <row r="909" spans="12:26" x14ac:dyDescent="0.5">
      <c r="L909" s="30"/>
    </row>
    <row r="910" spans="12:26" x14ac:dyDescent="0.5">
      <c r="L910" s="30"/>
    </row>
    <row r="911" spans="12:26" x14ac:dyDescent="0.5">
      <c r="L911" s="30"/>
    </row>
    <row r="912" spans="12:26" x14ac:dyDescent="0.5">
      <c r="L912" s="30"/>
    </row>
    <row r="913" spans="12:12" x14ac:dyDescent="0.5">
      <c r="L913" s="30"/>
    </row>
    <row r="914" spans="12:12" x14ac:dyDescent="0.5">
      <c r="L914" s="30"/>
    </row>
    <row r="915" spans="12:12" x14ac:dyDescent="0.5">
      <c r="L915" s="30"/>
    </row>
    <row r="916" spans="12:12" x14ac:dyDescent="0.5">
      <c r="L916" s="30"/>
    </row>
    <row r="917" spans="12:12" x14ac:dyDescent="0.5">
      <c r="L917" s="30"/>
    </row>
    <row r="918" spans="12:12" x14ac:dyDescent="0.5">
      <c r="L918" s="30"/>
    </row>
    <row r="919" spans="12:12" x14ac:dyDescent="0.5">
      <c r="L919" s="30"/>
    </row>
    <row r="920" spans="12:12" x14ac:dyDescent="0.5">
      <c r="L920" s="30"/>
    </row>
    <row r="921" spans="12:12" x14ac:dyDescent="0.5">
      <c r="L921" s="30"/>
    </row>
    <row r="922" spans="12:12" x14ac:dyDescent="0.5">
      <c r="L922" s="30"/>
    </row>
    <row r="923" spans="12:12" x14ac:dyDescent="0.5">
      <c r="L923" s="30"/>
    </row>
    <row r="924" spans="12:12" x14ac:dyDescent="0.5">
      <c r="L924" s="30"/>
    </row>
    <row r="925" spans="12:12" x14ac:dyDescent="0.5">
      <c r="L925" s="30"/>
    </row>
    <row r="926" spans="12:12" x14ac:dyDescent="0.5">
      <c r="L926" s="30"/>
    </row>
    <row r="927" spans="12:12" x14ac:dyDescent="0.5">
      <c r="L927" s="30"/>
    </row>
    <row r="928" spans="12:12" x14ac:dyDescent="0.5">
      <c r="L928" s="30"/>
    </row>
    <row r="929" spans="12:12" x14ac:dyDescent="0.5">
      <c r="L929" s="30"/>
    </row>
    <row r="930" spans="12:12" x14ac:dyDescent="0.5">
      <c r="L930" s="30"/>
    </row>
    <row r="931" spans="12:12" x14ac:dyDescent="0.5">
      <c r="L931" s="30"/>
    </row>
    <row r="932" spans="12:12" x14ac:dyDescent="0.5">
      <c r="L932" s="30"/>
    </row>
    <row r="933" spans="12:12" x14ac:dyDescent="0.5">
      <c r="L933" s="30"/>
    </row>
    <row r="934" spans="12:12" x14ac:dyDescent="0.5">
      <c r="L934" s="30"/>
    </row>
    <row r="935" spans="12:12" x14ac:dyDescent="0.5">
      <c r="L935" s="30"/>
    </row>
    <row r="936" spans="12:12" x14ac:dyDescent="0.5">
      <c r="L936" s="30"/>
    </row>
    <row r="937" spans="12:12" x14ac:dyDescent="0.5">
      <c r="L937" s="30"/>
    </row>
    <row r="938" spans="12:12" x14ac:dyDescent="0.5">
      <c r="L938" s="30"/>
    </row>
    <row r="939" spans="12:12" x14ac:dyDescent="0.5">
      <c r="L939" s="30"/>
    </row>
    <row r="940" spans="12:12" x14ac:dyDescent="0.5">
      <c r="L940" s="30"/>
    </row>
    <row r="941" spans="12:12" x14ac:dyDescent="0.5">
      <c r="L941" s="30"/>
    </row>
    <row r="942" spans="12:12" x14ac:dyDescent="0.5">
      <c r="L942" s="30"/>
    </row>
    <row r="943" spans="12:12" x14ac:dyDescent="0.5">
      <c r="L943" s="30"/>
    </row>
    <row r="944" spans="12:12" x14ac:dyDescent="0.5">
      <c r="L944" s="30"/>
    </row>
    <row r="945" spans="12:12" x14ac:dyDescent="0.5">
      <c r="L945" s="30"/>
    </row>
    <row r="946" spans="12:12" x14ac:dyDescent="0.5">
      <c r="L946" s="30"/>
    </row>
    <row r="947" spans="12:12" x14ac:dyDescent="0.5">
      <c r="L947" s="30"/>
    </row>
    <row r="948" spans="12:12" x14ac:dyDescent="0.5">
      <c r="L948" s="30"/>
    </row>
    <row r="949" spans="12:12" x14ac:dyDescent="0.5">
      <c r="L949" s="30"/>
    </row>
    <row r="950" spans="12:12" x14ac:dyDescent="0.5">
      <c r="L950" s="30"/>
    </row>
    <row r="951" spans="12:12" x14ac:dyDescent="0.5">
      <c r="L951" s="30"/>
    </row>
    <row r="952" spans="12:12" x14ac:dyDescent="0.5">
      <c r="L952" s="30"/>
    </row>
    <row r="953" spans="12:12" x14ac:dyDescent="0.5">
      <c r="L953" s="30"/>
    </row>
    <row r="954" spans="12:12" x14ac:dyDescent="0.5">
      <c r="L954" s="30"/>
    </row>
    <row r="955" spans="12:12" x14ac:dyDescent="0.5">
      <c r="L955" s="30"/>
    </row>
    <row r="956" spans="12:12" x14ac:dyDescent="0.5">
      <c r="L956" s="30"/>
    </row>
    <row r="957" spans="12:12" x14ac:dyDescent="0.5">
      <c r="L957" s="30"/>
    </row>
    <row r="958" spans="12:12" x14ac:dyDescent="0.5">
      <c r="L958" s="30"/>
    </row>
    <row r="959" spans="12:12" x14ac:dyDescent="0.5">
      <c r="L959" s="30"/>
    </row>
    <row r="960" spans="12:12" x14ac:dyDescent="0.5">
      <c r="L960" s="30"/>
    </row>
    <row r="961" spans="12:12" x14ac:dyDescent="0.5">
      <c r="L961" s="30"/>
    </row>
    <row r="962" spans="12:12" x14ac:dyDescent="0.5">
      <c r="L962" s="30"/>
    </row>
    <row r="963" spans="12:12" x14ac:dyDescent="0.5">
      <c r="L963" s="30"/>
    </row>
    <row r="964" spans="12:12" x14ac:dyDescent="0.5">
      <c r="L964" s="30"/>
    </row>
    <row r="965" spans="12:12" x14ac:dyDescent="0.5">
      <c r="L965" s="30"/>
    </row>
    <row r="966" spans="12:12" x14ac:dyDescent="0.5">
      <c r="L966" s="30"/>
    </row>
    <row r="967" spans="12:12" x14ac:dyDescent="0.5">
      <c r="L967" s="30"/>
    </row>
    <row r="968" spans="12:12" x14ac:dyDescent="0.5">
      <c r="L968" s="30"/>
    </row>
    <row r="969" spans="12:12" x14ac:dyDescent="0.5">
      <c r="L969" s="30"/>
    </row>
    <row r="970" spans="12:12" x14ac:dyDescent="0.5">
      <c r="L970" s="30"/>
    </row>
    <row r="971" spans="12:12" x14ac:dyDescent="0.5">
      <c r="L971" s="30"/>
    </row>
    <row r="972" spans="12:12" x14ac:dyDescent="0.5">
      <c r="L972" s="30"/>
    </row>
    <row r="973" spans="12:12" x14ac:dyDescent="0.5">
      <c r="L973" s="30"/>
    </row>
    <row r="974" spans="12:12" x14ac:dyDescent="0.5">
      <c r="L974" s="30"/>
    </row>
    <row r="975" spans="12:12" x14ac:dyDescent="0.5">
      <c r="L975" s="30"/>
    </row>
    <row r="976" spans="12:12" x14ac:dyDescent="0.5">
      <c r="L976" s="30"/>
    </row>
    <row r="977" spans="12:12" x14ac:dyDescent="0.5">
      <c r="L977" s="30"/>
    </row>
    <row r="978" spans="12:12" x14ac:dyDescent="0.5">
      <c r="L978" s="30"/>
    </row>
    <row r="979" spans="12:12" x14ac:dyDescent="0.5">
      <c r="L979" s="30"/>
    </row>
    <row r="980" spans="12:12" x14ac:dyDescent="0.5">
      <c r="L980" s="30"/>
    </row>
    <row r="981" spans="12:12" x14ac:dyDescent="0.5">
      <c r="L981" s="30"/>
    </row>
    <row r="982" spans="12:12" x14ac:dyDescent="0.5">
      <c r="L982" s="30"/>
    </row>
    <row r="983" spans="12:12" x14ac:dyDescent="0.5">
      <c r="L983" s="30"/>
    </row>
    <row r="984" spans="12:12" x14ac:dyDescent="0.5">
      <c r="L984" s="30"/>
    </row>
    <row r="985" spans="12:12" x14ac:dyDescent="0.5">
      <c r="L985" s="30"/>
    </row>
    <row r="986" spans="12:12" x14ac:dyDescent="0.5">
      <c r="L986" s="30"/>
    </row>
    <row r="987" spans="12:12" x14ac:dyDescent="0.5">
      <c r="L987" s="30"/>
    </row>
    <row r="988" spans="12:12" x14ac:dyDescent="0.5">
      <c r="L988" s="30"/>
    </row>
    <row r="989" spans="12:12" x14ac:dyDescent="0.5">
      <c r="L989" s="30"/>
    </row>
    <row r="990" spans="12:12" x14ac:dyDescent="0.5">
      <c r="L990" s="30"/>
    </row>
    <row r="991" spans="12:12" x14ac:dyDescent="0.5">
      <c r="L991" s="30"/>
    </row>
    <row r="992" spans="12:12" x14ac:dyDescent="0.5">
      <c r="L992" s="30"/>
    </row>
    <row r="993" spans="12:12" x14ac:dyDescent="0.5">
      <c r="L993" s="30"/>
    </row>
    <row r="994" spans="12:12" x14ac:dyDescent="0.5">
      <c r="L994" s="30"/>
    </row>
    <row r="995" spans="12:12" x14ac:dyDescent="0.5">
      <c r="L995" s="30"/>
    </row>
    <row r="996" spans="12:12" x14ac:dyDescent="0.5">
      <c r="L996" s="30"/>
    </row>
    <row r="997" spans="12:12" x14ac:dyDescent="0.5">
      <c r="L997" s="30"/>
    </row>
    <row r="998" spans="12:12" x14ac:dyDescent="0.5">
      <c r="L998" s="30"/>
    </row>
    <row r="999" spans="12:12" x14ac:dyDescent="0.5">
      <c r="L999" s="30"/>
    </row>
    <row r="1000" spans="12:12" x14ac:dyDescent="0.5">
      <c r="L1000" s="30"/>
    </row>
    <row r="1001" spans="12:12" x14ac:dyDescent="0.5">
      <c r="L1001" s="30"/>
    </row>
    <row r="1002" spans="12:12" x14ac:dyDescent="0.5">
      <c r="L1002" s="30"/>
    </row>
    <row r="1003" spans="12:12" x14ac:dyDescent="0.5">
      <c r="L1003" s="30"/>
    </row>
    <row r="1004" spans="12:12" x14ac:dyDescent="0.5">
      <c r="L1004" s="30"/>
    </row>
    <row r="1005" spans="12:12" x14ac:dyDescent="0.5">
      <c r="L1005" s="30"/>
    </row>
    <row r="1006" spans="12:12" x14ac:dyDescent="0.5">
      <c r="L1006" s="30"/>
    </row>
    <row r="1007" spans="12:12" x14ac:dyDescent="0.5">
      <c r="L1007" s="30"/>
    </row>
    <row r="1008" spans="12:12" x14ac:dyDescent="0.5">
      <c r="L1008" s="30"/>
    </row>
    <row r="1009" spans="12:12" x14ac:dyDescent="0.5">
      <c r="L1009" s="30"/>
    </row>
    <row r="1010" spans="12:12" x14ac:dyDescent="0.5">
      <c r="L1010" s="30"/>
    </row>
    <row r="1011" spans="12:12" x14ac:dyDescent="0.5">
      <c r="L1011" s="30"/>
    </row>
    <row r="1012" spans="12:12" x14ac:dyDescent="0.5">
      <c r="L1012" s="30"/>
    </row>
    <row r="1013" spans="12:12" x14ac:dyDescent="0.5">
      <c r="L1013" s="30"/>
    </row>
    <row r="1014" spans="12:12" x14ac:dyDescent="0.5">
      <c r="L1014" s="30"/>
    </row>
    <row r="1015" spans="12:12" x14ac:dyDescent="0.5">
      <c r="L1015" s="30"/>
    </row>
    <row r="1016" spans="12:12" x14ac:dyDescent="0.5">
      <c r="L1016" s="30"/>
    </row>
    <row r="1017" spans="12:12" x14ac:dyDescent="0.5">
      <c r="L1017" s="30"/>
    </row>
    <row r="1018" spans="12:12" x14ac:dyDescent="0.5">
      <c r="L1018" s="30"/>
    </row>
    <row r="1019" spans="12:12" x14ac:dyDescent="0.5">
      <c r="L1019" s="30"/>
    </row>
    <row r="1020" spans="12:12" x14ac:dyDescent="0.5">
      <c r="L1020" s="30"/>
    </row>
    <row r="1021" spans="12:12" x14ac:dyDescent="0.5">
      <c r="L1021" s="30"/>
    </row>
    <row r="1022" spans="12:12" x14ac:dyDescent="0.5">
      <c r="L1022" s="30"/>
    </row>
    <row r="1023" spans="12:12" x14ac:dyDescent="0.5">
      <c r="L1023" s="30"/>
    </row>
    <row r="1024" spans="12:12" x14ac:dyDescent="0.5">
      <c r="L1024" s="30"/>
    </row>
    <row r="1025" spans="12:12" x14ac:dyDescent="0.5">
      <c r="L1025" s="30"/>
    </row>
    <row r="1026" spans="12:12" x14ac:dyDescent="0.5">
      <c r="L1026" s="30"/>
    </row>
    <row r="1027" spans="12:12" x14ac:dyDescent="0.5">
      <c r="L1027" s="30"/>
    </row>
    <row r="1028" spans="12:12" x14ac:dyDescent="0.5">
      <c r="L1028" s="30"/>
    </row>
    <row r="1029" spans="12:12" x14ac:dyDescent="0.5">
      <c r="L1029" s="30"/>
    </row>
    <row r="1030" spans="12:12" x14ac:dyDescent="0.5">
      <c r="L1030" s="30"/>
    </row>
    <row r="1031" spans="12:12" x14ac:dyDescent="0.5">
      <c r="L1031" s="30"/>
    </row>
    <row r="1032" spans="12:12" x14ac:dyDescent="0.5">
      <c r="L1032" s="30"/>
    </row>
    <row r="1033" spans="12:12" x14ac:dyDescent="0.5">
      <c r="L1033" s="30"/>
    </row>
    <row r="1034" spans="12:12" x14ac:dyDescent="0.5">
      <c r="L1034" s="30"/>
    </row>
    <row r="1035" spans="12:12" x14ac:dyDescent="0.5">
      <c r="L1035" s="30"/>
    </row>
    <row r="1036" spans="12:12" x14ac:dyDescent="0.5">
      <c r="L1036" s="30"/>
    </row>
    <row r="1037" spans="12:12" x14ac:dyDescent="0.5">
      <c r="L1037" s="30"/>
    </row>
    <row r="1038" spans="12:12" x14ac:dyDescent="0.5">
      <c r="L1038" s="30"/>
    </row>
    <row r="1039" spans="12:12" x14ac:dyDescent="0.5">
      <c r="L1039" s="30"/>
    </row>
    <row r="1040" spans="12:12" x14ac:dyDescent="0.5">
      <c r="L1040" s="30"/>
    </row>
    <row r="1041" spans="12:12" x14ac:dyDescent="0.5">
      <c r="L1041" s="30"/>
    </row>
    <row r="1042" spans="12:12" x14ac:dyDescent="0.5">
      <c r="L1042" s="30"/>
    </row>
    <row r="1043" spans="12:12" x14ac:dyDescent="0.5">
      <c r="L1043" s="30"/>
    </row>
    <row r="1044" spans="12:12" x14ac:dyDescent="0.5">
      <c r="L1044" s="30"/>
    </row>
    <row r="1045" spans="12:12" x14ac:dyDescent="0.5">
      <c r="L1045" s="30"/>
    </row>
    <row r="1046" spans="12:12" x14ac:dyDescent="0.5">
      <c r="L1046" s="30"/>
    </row>
    <row r="1047" spans="12:12" x14ac:dyDescent="0.5">
      <c r="L1047" s="30"/>
    </row>
    <row r="1048" spans="12:12" x14ac:dyDescent="0.5">
      <c r="L1048" s="30"/>
    </row>
    <row r="1049" spans="12:12" x14ac:dyDescent="0.5">
      <c r="L1049" s="30"/>
    </row>
    <row r="1050" spans="12:12" x14ac:dyDescent="0.5">
      <c r="L1050" s="30"/>
    </row>
    <row r="1051" spans="12:12" x14ac:dyDescent="0.5">
      <c r="L1051" s="30"/>
    </row>
    <row r="1052" spans="12:12" x14ac:dyDescent="0.5">
      <c r="L1052" s="30"/>
    </row>
    <row r="1053" spans="12:12" x14ac:dyDescent="0.5">
      <c r="L1053" s="30"/>
    </row>
    <row r="1054" spans="12:12" x14ac:dyDescent="0.5">
      <c r="L1054" s="30"/>
    </row>
    <row r="1055" spans="12:12" x14ac:dyDescent="0.5">
      <c r="L1055" s="30"/>
    </row>
    <row r="1056" spans="12:12" x14ac:dyDescent="0.5">
      <c r="L1056" s="30"/>
    </row>
    <row r="1057" spans="12:12" x14ac:dyDescent="0.5">
      <c r="L1057" s="30"/>
    </row>
    <row r="1058" spans="12:12" x14ac:dyDescent="0.5">
      <c r="L1058" s="30"/>
    </row>
    <row r="1059" spans="12:12" x14ac:dyDescent="0.5">
      <c r="L1059" s="30"/>
    </row>
    <row r="1060" spans="12:12" x14ac:dyDescent="0.5">
      <c r="L1060" s="30"/>
    </row>
    <row r="1061" spans="12:12" x14ac:dyDescent="0.5">
      <c r="L1061" s="30"/>
    </row>
    <row r="1062" spans="12:12" x14ac:dyDescent="0.5">
      <c r="L1062" s="30"/>
    </row>
    <row r="1063" spans="12:12" x14ac:dyDescent="0.5">
      <c r="L1063" s="30"/>
    </row>
    <row r="1064" spans="12:12" x14ac:dyDescent="0.5">
      <c r="L1064" s="30"/>
    </row>
    <row r="1065" spans="12:12" x14ac:dyDescent="0.5">
      <c r="L1065" s="30"/>
    </row>
    <row r="1066" spans="12:12" x14ac:dyDescent="0.5">
      <c r="L1066" s="30"/>
    </row>
    <row r="1067" spans="12:12" x14ac:dyDescent="0.5">
      <c r="L1067" s="30"/>
    </row>
    <row r="1068" spans="12:12" x14ac:dyDescent="0.5">
      <c r="L1068" s="30"/>
    </row>
    <row r="1069" spans="12:12" x14ac:dyDescent="0.5">
      <c r="L1069" s="30"/>
    </row>
    <row r="1070" spans="12:12" x14ac:dyDescent="0.5">
      <c r="L1070" s="30"/>
    </row>
    <row r="1071" spans="12:12" x14ac:dyDescent="0.5">
      <c r="L1071" s="30"/>
    </row>
    <row r="1072" spans="12:12" x14ac:dyDescent="0.5">
      <c r="L1072" s="30"/>
    </row>
    <row r="1073" spans="12:12" x14ac:dyDescent="0.5">
      <c r="L1073" s="30"/>
    </row>
    <row r="1074" spans="12:12" x14ac:dyDescent="0.5">
      <c r="L1074" s="30"/>
    </row>
    <row r="1075" spans="12:12" x14ac:dyDescent="0.5">
      <c r="L1075" s="30"/>
    </row>
    <row r="1076" spans="12:12" x14ac:dyDescent="0.5">
      <c r="L1076" s="30"/>
    </row>
    <row r="1077" spans="12:12" x14ac:dyDescent="0.5">
      <c r="L1077" s="30"/>
    </row>
    <row r="1078" spans="12:12" x14ac:dyDescent="0.5">
      <c r="L1078" s="30"/>
    </row>
    <row r="1079" spans="12:12" x14ac:dyDescent="0.5">
      <c r="L1079" s="30"/>
    </row>
    <row r="1080" spans="12:12" x14ac:dyDescent="0.5">
      <c r="L1080" s="30"/>
    </row>
    <row r="1081" spans="12:12" x14ac:dyDescent="0.5">
      <c r="L1081" s="30"/>
    </row>
    <row r="1082" spans="12:12" x14ac:dyDescent="0.5">
      <c r="L1082" s="30"/>
    </row>
    <row r="1083" spans="12:12" x14ac:dyDescent="0.5">
      <c r="L1083" s="30"/>
    </row>
    <row r="1084" spans="12:12" x14ac:dyDescent="0.5">
      <c r="L1084" s="30"/>
    </row>
    <row r="1085" spans="12:12" x14ac:dyDescent="0.5">
      <c r="L1085" s="30"/>
    </row>
    <row r="1086" spans="12:12" x14ac:dyDescent="0.5">
      <c r="L1086" s="30"/>
    </row>
    <row r="1087" spans="12:12" x14ac:dyDescent="0.5">
      <c r="L1087" s="30"/>
    </row>
    <row r="1088" spans="12:12" x14ac:dyDescent="0.5">
      <c r="L1088" s="30"/>
    </row>
    <row r="1089" spans="12:12" x14ac:dyDescent="0.5">
      <c r="L1089" s="30"/>
    </row>
    <row r="1090" spans="12:12" x14ac:dyDescent="0.5">
      <c r="L1090" s="30"/>
    </row>
    <row r="1091" spans="12:12" x14ac:dyDescent="0.5">
      <c r="L1091" s="30"/>
    </row>
    <row r="1092" spans="12:12" x14ac:dyDescent="0.5">
      <c r="L1092" s="30"/>
    </row>
    <row r="1093" spans="12:12" x14ac:dyDescent="0.5">
      <c r="L1093" s="30"/>
    </row>
    <row r="1094" spans="12:12" x14ac:dyDescent="0.5">
      <c r="L1094" s="30"/>
    </row>
    <row r="1095" spans="12:12" x14ac:dyDescent="0.5">
      <c r="L1095" s="30"/>
    </row>
    <row r="1096" spans="12:12" x14ac:dyDescent="0.5">
      <c r="L1096" s="30"/>
    </row>
    <row r="1097" spans="12:12" x14ac:dyDescent="0.5">
      <c r="L1097" s="30"/>
    </row>
    <row r="1098" spans="12:12" x14ac:dyDescent="0.5">
      <c r="L1098" s="30"/>
    </row>
    <row r="1099" spans="12:12" x14ac:dyDescent="0.5">
      <c r="L1099" s="30"/>
    </row>
    <row r="1100" spans="12:12" x14ac:dyDescent="0.5">
      <c r="L1100" s="30"/>
    </row>
    <row r="1101" spans="12:12" x14ac:dyDescent="0.5">
      <c r="L1101" s="30"/>
    </row>
    <row r="1102" spans="12:12" x14ac:dyDescent="0.5">
      <c r="L1102" s="30"/>
    </row>
    <row r="1103" spans="12:12" x14ac:dyDescent="0.5">
      <c r="L1103" s="30"/>
    </row>
    <row r="1104" spans="12:12" x14ac:dyDescent="0.5">
      <c r="L1104" s="30"/>
    </row>
    <row r="1105" spans="12:12" x14ac:dyDescent="0.5">
      <c r="L1105" s="30"/>
    </row>
    <row r="1106" spans="12:12" x14ac:dyDescent="0.5">
      <c r="L1106" s="30"/>
    </row>
    <row r="1107" spans="12:12" x14ac:dyDescent="0.5">
      <c r="L1107" s="30"/>
    </row>
    <row r="1108" spans="12:12" x14ac:dyDescent="0.5">
      <c r="L1108" s="30"/>
    </row>
    <row r="1109" spans="12:12" x14ac:dyDescent="0.5">
      <c r="L1109" s="30"/>
    </row>
    <row r="1110" spans="12:12" x14ac:dyDescent="0.5">
      <c r="L1110" s="30"/>
    </row>
    <row r="1111" spans="12:12" x14ac:dyDescent="0.5">
      <c r="L1111" s="30"/>
    </row>
    <row r="1112" spans="12:12" x14ac:dyDescent="0.5">
      <c r="L1112" s="30"/>
    </row>
    <row r="1113" spans="12:12" x14ac:dyDescent="0.5">
      <c r="L1113" s="30"/>
    </row>
    <row r="1114" spans="12:12" x14ac:dyDescent="0.5">
      <c r="L1114" s="30"/>
    </row>
    <row r="1115" spans="12:12" x14ac:dyDescent="0.5">
      <c r="L1115" s="30"/>
    </row>
    <row r="1116" spans="12:12" x14ac:dyDescent="0.5">
      <c r="L1116" s="30"/>
    </row>
    <row r="1117" spans="12:12" x14ac:dyDescent="0.5">
      <c r="L1117" s="30"/>
    </row>
    <row r="1118" spans="12:12" x14ac:dyDescent="0.5">
      <c r="L1118" s="30"/>
    </row>
    <row r="1119" spans="12:12" x14ac:dyDescent="0.5">
      <c r="L1119" s="30"/>
    </row>
    <row r="1120" spans="12:12" x14ac:dyDescent="0.5">
      <c r="L1120" s="30"/>
    </row>
    <row r="1121" spans="12:12" x14ac:dyDescent="0.5">
      <c r="L1121" s="30"/>
    </row>
    <row r="1122" spans="12:12" x14ac:dyDescent="0.5">
      <c r="L1122" s="30"/>
    </row>
    <row r="1123" spans="12:12" x14ac:dyDescent="0.5">
      <c r="L1123" s="30"/>
    </row>
    <row r="1124" spans="12:12" x14ac:dyDescent="0.5">
      <c r="L1124" s="30"/>
    </row>
    <row r="1125" spans="12:12" x14ac:dyDescent="0.5">
      <c r="L1125" s="30"/>
    </row>
    <row r="1126" spans="12:12" x14ac:dyDescent="0.5">
      <c r="L1126" s="30"/>
    </row>
    <row r="1127" spans="12:12" x14ac:dyDescent="0.5">
      <c r="L1127" s="30"/>
    </row>
    <row r="1128" spans="12:12" x14ac:dyDescent="0.5">
      <c r="L1128" s="30"/>
    </row>
    <row r="1129" spans="12:12" x14ac:dyDescent="0.5">
      <c r="L1129" s="30"/>
    </row>
    <row r="1130" spans="12:12" x14ac:dyDescent="0.5">
      <c r="L1130" s="30"/>
    </row>
    <row r="1131" spans="12:12" x14ac:dyDescent="0.5">
      <c r="L1131" s="30"/>
    </row>
    <row r="1132" spans="12:12" x14ac:dyDescent="0.5">
      <c r="L1132" s="30"/>
    </row>
    <row r="1133" spans="12:12" x14ac:dyDescent="0.5">
      <c r="L1133" s="30"/>
    </row>
    <row r="1134" spans="12:12" x14ac:dyDescent="0.5">
      <c r="L1134" s="30"/>
    </row>
    <row r="1135" spans="12:12" x14ac:dyDescent="0.5">
      <c r="L1135" s="30"/>
    </row>
    <row r="1136" spans="12:12" x14ac:dyDescent="0.5">
      <c r="L1136" s="30"/>
    </row>
    <row r="1137" spans="12:12" x14ac:dyDescent="0.5">
      <c r="L1137" s="30"/>
    </row>
    <row r="1138" spans="12:12" x14ac:dyDescent="0.5">
      <c r="L1138" s="30"/>
    </row>
    <row r="1139" spans="12:12" x14ac:dyDescent="0.5">
      <c r="L1139" s="30"/>
    </row>
    <row r="1140" spans="12:12" x14ac:dyDescent="0.5">
      <c r="L1140" s="30"/>
    </row>
    <row r="1141" spans="12:12" x14ac:dyDescent="0.5">
      <c r="L1141" s="30"/>
    </row>
    <row r="1142" spans="12:12" x14ac:dyDescent="0.5">
      <c r="L1142" s="30"/>
    </row>
    <row r="1143" spans="12:12" x14ac:dyDescent="0.5">
      <c r="L1143" s="30"/>
    </row>
    <row r="1144" spans="12:12" x14ac:dyDescent="0.5">
      <c r="L1144" s="30"/>
    </row>
    <row r="1145" spans="12:12" x14ac:dyDescent="0.5">
      <c r="L1145" s="30"/>
    </row>
    <row r="1146" spans="12:12" x14ac:dyDescent="0.5">
      <c r="L1146" s="30"/>
    </row>
    <row r="1147" spans="12:12" x14ac:dyDescent="0.5">
      <c r="L1147" s="30"/>
    </row>
    <row r="1148" spans="12:12" x14ac:dyDescent="0.5">
      <c r="L1148" s="30"/>
    </row>
    <row r="1149" spans="12:12" x14ac:dyDescent="0.5">
      <c r="L1149" s="30"/>
    </row>
    <row r="1150" spans="12:12" x14ac:dyDescent="0.5">
      <c r="L1150" s="30"/>
    </row>
    <row r="1151" spans="12:12" x14ac:dyDescent="0.5">
      <c r="L1151" s="30"/>
    </row>
    <row r="1152" spans="12:12" x14ac:dyDescent="0.5">
      <c r="L1152" s="30"/>
    </row>
    <row r="1153" spans="12:12" x14ac:dyDescent="0.5">
      <c r="L1153" s="30"/>
    </row>
    <row r="1154" spans="12:12" x14ac:dyDescent="0.5">
      <c r="L1154" s="30"/>
    </row>
    <row r="1155" spans="12:12" x14ac:dyDescent="0.5">
      <c r="L1155" s="30"/>
    </row>
    <row r="1156" spans="12:12" x14ac:dyDescent="0.5">
      <c r="L1156" s="30"/>
    </row>
    <row r="1157" spans="12:12" x14ac:dyDescent="0.5">
      <c r="L1157" s="30"/>
    </row>
    <row r="1158" spans="12:12" x14ac:dyDescent="0.5">
      <c r="L1158" s="30"/>
    </row>
    <row r="1159" spans="12:12" x14ac:dyDescent="0.5">
      <c r="L1159" s="30"/>
    </row>
    <row r="1160" spans="12:12" x14ac:dyDescent="0.5">
      <c r="L1160" s="30"/>
    </row>
    <row r="1161" spans="12:12" x14ac:dyDescent="0.5">
      <c r="L1161" s="30"/>
    </row>
    <row r="1162" spans="12:12" x14ac:dyDescent="0.5">
      <c r="L1162" s="30"/>
    </row>
    <row r="1163" spans="12:12" x14ac:dyDescent="0.5">
      <c r="L1163" s="30"/>
    </row>
    <row r="1164" spans="12:12" x14ac:dyDescent="0.5">
      <c r="L1164" s="30"/>
    </row>
    <row r="1165" spans="12:12" x14ac:dyDescent="0.5">
      <c r="L1165" s="30"/>
    </row>
    <row r="1166" spans="12:12" x14ac:dyDescent="0.5">
      <c r="L1166" s="30"/>
    </row>
    <row r="1167" spans="12:12" x14ac:dyDescent="0.5">
      <c r="L1167" s="30"/>
    </row>
    <row r="1168" spans="12:12" x14ac:dyDescent="0.5">
      <c r="L1168" s="30"/>
    </row>
    <row r="1169" spans="12:12" x14ac:dyDescent="0.5">
      <c r="L1169" s="30"/>
    </row>
    <row r="1170" spans="12:12" x14ac:dyDescent="0.5">
      <c r="L1170" s="30"/>
    </row>
    <row r="1171" spans="12:12" x14ac:dyDescent="0.5">
      <c r="L1171" s="30"/>
    </row>
    <row r="1172" spans="12:12" x14ac:dyDescent="0.5">
      <c r="L1172" s="30"/>
    </row>
    <row r="1173" spans="12:12" x14ac:dyDescent="0.5">
      <c r="L1173" s="30"/>
    </row>
    <row r="1174" spans="12:12" x14ac:dyDescent="0.5">
      <c r="L1174" s="30"/>
    </row>
    <row r="1175" spans="12:12" x14ac:dyDescent="0.5">
      <c r="L1175" s="30"/>
    </row>
    <row r="1176" spans="12:12" x14ac:dyDescent="0.5">
      <c r="L1176" s="30"/>
    </row>
    <row r="1177" spans="12:12" x14ac:dyDescent="0.5">
      <c r="L1177" s="30"/>
    </row>
    <row r="1178" spans="12:12" x14ac:dyDescent="0.5">
      <c r="L1178" s="30"/>
    </row>
    <row r="1179" spans="12:12" x14ac:dyDescent="0.5">
      <c r="L1179" s="30"/>
    </row>
    <row r="1180" spans="12:12" x14ac:dyDescent="0.5">
      <c r="L1180" s="30"/>
    </row>
    <row r="1181" spans="12:12" x14ac:dyDescent="0.5">
      <c r="L1181" s="30"/>
    </row>
    <row r="1182" spans="12:12" x14ac:dyDescent="0.5">
      <c r="L1182" s="30"/>
    </row>
    <row r="1183" spans="12:12" x14ac:dyDescent="0.5">
      <c r="L1183" s="30"/>
    </row>
    <row r="1184" spans="12:12" x14ac:dyDescent="0.5">
      <c r="L1184" s="30"/>
    </row>
    <row r="1185" spans="12:12" x14ac:dyDescent="0.5">
      <c r="L1185" s="30"/>
    </row>
    <row r="1186" spans="12:12" x14ac:dyDescent="0.5">
      <c r="L1186" s="30"/>
    </row>
    <row r="1187" spans="12:12" x14ac:dyDescent="0.5">
      <c r="L1187" s="30"/>
    </row>
    <row r="1188" spans="12:12" x14ac:dyDescent="0.5">
      <c r="L1188" s="30"/>
    </row>
    <row r="1189" spans="12:12" x14ac:dyDescent="0.5">
      <c r="L1189" s="30"/>
    </row>
    <row r="1190" spans="12:12" x14ac:dyDescent="0.5">
      <c r="L1190" s="30"/>
    </row>
    <row r="1191" spans="12:12" x14ac:dyDescent="0.5">
      <c r="L1191" s="30"/>
    </row>
    <row r="1192" spans="12:12" x14ac:dyDescent="0.5">
      <c r="L1192" s="30"/>
    </row>
    <row r="1193" spans="12:12" x14ac:dyDescent="0.5">
      <c r="L1193" s="30"/>
    </row>
    <row r="1194" spans="12:12" x14ac:dyDescent="0.5">
      <c r="L1194" s="30"/>
    </row>
    <row r="1195" spans="12:12" x14ac:dyDescent="0.5">
      <c r="L1195" s="30"/>
    </row>
    <row r="1196" spans="12:12" x14ac:dyDescent="0.5">
      <c r="L1196" s="30"/>
    </row>
    <row r="1197" spans="12:12" x14ac:dyDescent="0.5">
      <c r="L1197" s="30"/>
    </row>
    <row r="1198" spans="12:12" x14ac:dyDescent="0.5">
      <c r="L1198" s="30"/>
    </row>
    <row r="1199" spans="12:12" x14ac:dyDescent="0.5">
      <c r="L1199" s="30"/>
    </row>
    <row r="1200" spans="12:12" x14ac:dyDescent="0.5">
      <c r="L1200" s="30"/>
    </row>
    <row r="1201" spans="12:12" x14ac:dyDescent="0.5">
      <c r="L1201" s="30"/>
    </row>
    <row r="1202" spans="12:12" x14ac:dyDescent="0.5">
      <c r="L1202" s="30"/>
    </row>
    <row r="1203" spans="12:12" x14ac:dyDescent="0.5">
      <c r="L1203" s="30"/>
    </row>
    <row r="1204" spans="12:12" x14ac:dyDescent="0.5">
      <c r="L1204" s="30"/>
    </row>
    <row r="1205" spans="12:12" x14ac:dyDescent="0.5">
      <c r="L1205" s="30"/>
    </row>
    <row r="1206" spans="12:12" x14ac:dyDescent="0.5">
      <c r="L1206" s="30"/>
    </row>
    <row r="1207" spans="12:12" x14ac:dyDescent="0.5">
      <c r="L1207" s="30"/>
    </row>
    <row r="1208" spans="12:12" x14ac:dyDescent="0.5">
      <c r="L1208" s="30"/>
    </row>
    <row r="1209" spans="12:12" x14ac:dyDescent="0.5">
      <c r="L1209" s="30"/>
    </row>
    <row r="1210" spans="12:12" x14ac:dyDescent="0.5">
      <c r="L1210" s="30"/>
    </row>
    <row r="1211" spans="12:12" x14ac:dyDescent="0.5">
      <c r="L1211" s="30"/>
    </row>
    <row r="1212" spans="12:12" x14ac:dyDescent="0.5">
      <c r="L1212" s="30"/>
    </row>
    <row r="1213" spans="12:12" x14ac:dyDescent="0.5">
      <c r="L1213" s="30"/>
    </row>
    <row r="1214" spans="12:12" x14ac:dyDescent="0.5">
      <c r="L1214" s="30"/>
    </row>
    <row r="1215" spans="12:12" x14ac:dyDescent="0.5">
      <c r="L1215" s="30"/>
    </row>
    <row r="1216" spans="12:12" x14ac:dyDescent="0.5">
      <c r="L1216" s="30"/>
    </row>
    <row r="1217" spans="12:12" x14ac:dyDescent="0.5">
      <c r="L1217" s="30"/>
    </row>
    <row r="1218" spans="12:12" x14ac:dyDescent="0.5">
      <c r="L1218" s="30"/>
    </row>
    <row r="1219" spans="12:12" x14ac:dyDescent="0.5">
      <c r="L1219" s="30"/>
    </row>
    <row r="1220" spans="12:12" x14ac:dyDescent="0.5">
      <c r="L1220" s="30"/>
    </row>
    <row r="1221" spans="12:12" x14ac:dyDescent="0.5">
      <c r="L1221" s="30"/>
    </row>
    <row r="1222" spans="12:12" x14ac:dyDescent="0.5">
      <c r="L1222" s="30"/>
    </row>
    <row r="1223" spans="12:12" x14ac:dyDescent="0.5">
      <c r="L1223" s="30"/>
    </row>
    <row r="1224" spans="12:12" x14ac:dyDescent="0.5">
      <c r="L1224" s="30"/>
    </row>
    <row r="1225" spans="12:12" x14ac:dyDescent="0.5">
      <c r="L1225" s="30"/>
    </row>
    <row r="1226" spans="12:12" x14ac:dyDescent="0.5">
      <c r="L1226" s="30"/>
    </row>
    <row r="1227" spans="12:12" x14ac:dyDescent="0.5">
      <c r="L1227" s="30"/>
    </row>
    <row r="1228" spans="12:12" x14ac:dyDescent="0.5">
      <c r="L1228" s="30"/>
    </row>
    <row r="1229" spans="12:12" x14ac:dyDescent="0.5">
      <c r="L1229" s="30"/>
    </row>
    <row r="1230" spans="12:12" x14ac:dyDescent="0.5">
      <c r="L1230" s="30"/>
    </row>
    <row r="1231" spans="12:12" x14ac:dyDescent="0.5">
      <c r="L1231" s="30"/>
    </row>
    <row r="1232" spans="12:12" x14ac:dyDescent="0.5">
      <c r="L1232" s="30"/>
    </row>
    <row r="1233" spans="12:12" x14ac:dyDescent="0.5">
      <c r="L1233" s="30"/>
    </row>
    <row r="1234" spans="12:12" x14ac:dyDescent="0.5">
      <c r="L1234" s="30"/>
    </row>
    <row r="1235" spans="12:12" x14ac:dyDescent="0.5">
      <c r="L1235" s="30"/>
    </row>
    <row r="1236" spans="12:12" x14ac:dyDescent="0.5">
      <c r="L1236" s="30"/>
    </row>
    <row r="1237" spans="12:12" x14ac:dyDescent="0.5">
      <c r="L1237" s="30"/>
    </row>
    <row r="1238" spans="12:12" x14ac:dyDescent="0.5">
      <c r="L1238" s="30"/>
    </row>
    <row r="1239" spans="12:12" x14ac:dyDescent="0.5">
      <c r="L1239" s="30"/>
    </row>
    <row r="1240" spans="12:12" x14ac:dyDescent="0.5">
      <c r="L1240" s="30"/>
    </row>
    <row r="1241" spans="12:12" x14ac:dyDescent="0.5">
      <c r="L1241" s="30"/>
    </row>
    <row r="1242" spans="12:12" x14ac:dyDescent="0.5">
      <c r="L1242" s="30"/>
    </row>
    <row r="1243" spans="12:12" x14ac:dyDescent="0.5">
      <c r="L1243" s="30"/>
    </row>
    <row r="1244" spans="12:12" x14ac:dyDescent="0.5">
      <c r="L1244" s="30"/>
    </row>
    <row r="1245" spans="12:12" x14ac:dyDescent="0.5">
      <c r="L1245" s="30"/>
    </row>
    <row r="1246" spans="12:12" x14ac:dyDescent="0.5">
      <c r="L1246" s="30"/>
    </row>
    <row r="1247" spans="12:12" x14ac:dyDescent="0.5">
      <c r="L1247" s="30"/>
    </row>
    <row r="1248" spans="12:12" x14ac:dyDescent="0.5">
      <c r="L1248" s="30"/>
    </row>
    <row r="1249" spans="12:12" x14ac:dyDescent="0.5">
      <c r="L1249" s="30"/>
    </row>
    <row r="1250" spans="12:12" x14ac:dyDescent="0.5">
      <c r="L1250" s="30"/>
    </row>
    <row r="1251" spans="12:12" x14ac:dyDescent="0.5">
      <c r="L1251" s="30"/>
    </row>
    <row r="1252" spans="12:12" x14ac:dyDescent="0.5">
      <c r="L1252" s="30"/>
    </row>
    <row r="1253" spans="12:12" x14ac:dyDescent="0.5">
      <c r="L1253" s="30"/>
    </row>
    <row r="1254" spans="12:12" x14ac:dyDescent="0.5">
      <c r="L1254" s="30"/>
    </row>
    <row r="1255" spans="12:12" x14ac:dyDescent="0.5">
      <c r="L1255" s="30"/>
    </row>
    <row r="1256" spans="12:12" x14ac:dyDescent="0.5">
      <c r="L1256" s="30"/>
    </row>
    <row r="1257" spans="12:12" x14ac:dyDescent="0.5">
      <c r="L1257" s="30"/>
    </row>
    <row r="1258" spans="12:12" x14ac:dyDescent="0.5">
      <c r="L1258" s="30"/>
    </row>
    <row r="1259" spans="12:12" x14ac:dyDescent="0.5">
      <c r="L1259" s="30"/>
    </row>
    <row r="1260" spans="12:12" x14ac:dyDescent="0.5">
      <c r="L1260" s="30"/>
    </row>
    <row r="1261" spans="12:12" x14ac:dyDescent="0.5">
      <c r="L1261" s="30"/>
    </row>
    <row r="1262" spans="12:12" x14ac:dyDescent="0.5">
      <c r="L1262" s="30"/>
    </row>
    <row r="1263" spans="12:12" x14ac:dyDescent="0.5">
      <c r="L1263" s="30"/>
    </row>
    <row r="1264" spans="12:12" x14ac:dyDescent="0.5">
      <c r="L1264" s="30"/>
    </row>
    <row r="1265" spans="12:12" x14ac:dyDescent="0.5">
      <c r="L1265" s="30"/>
    </row>
    <row r="1266" spans="12:12" x14ac:dyDescent="0.5">
      <c r="L1266" s="30"/>
    </row>
    <row r="1267" spans="12:12" x14ac:dyDescent="0.5">
      <c r="L1267" s="30"/>
    </row>
    <row r="1268" spans="12:12" x14ac:dyDescent="0.5">
      <c r="L1268" s="30"/>
    </row>
    <row r="1269" spans="12:12" x14ac:dyDescent="0.5">
      <c r="L1269" s="30"/>
    </row>
    <row r="1270" spans="12:12" x14ac:dyDescent="0.5">
      <c r="L1270" s="30"/>
    </row>
    <row r="1271" spans="12:12" x14ac:dyDescent="0.5">
      <c r="L1271" s="30"/>
    </row>
    <row r="1272" spans="12:12" x14ac:dyDescent="0.5">
      <c r="L1272" s="30"/>
    </row>
    <row r="1273" spans="12:12" x14ac:dyDescent="0.5">
      <c r="L1273" s="30"/>
    </row>
    <row r="1274" spans="12:12" x14ac:dyDescent="0.5">
      <c r="L1274" s="30"/>
    </row>
    <row r="1275" spans="12:12" x14ac:dyDescent="0.5">
      <c r="L1275" s="30"/>
    </row>
    <row r="1276" spans="12:12" x14ac:dyDescent="0.5">
      <c r="L1276" s="30"/>
    </row>
    <row r="1277" spans="12:12" x14ac:dyDescent="0.5">
      <c r="L1277" s="30"/>
    </row>
    <row r="1278" spans="12:12" x14ac:dyDescent="0.5">
      <c r="L1278" s="30"/>
    </row>
    <row r="1279" spans="12:12" x14ac:dyDescent="0.5">
      <c r="L1279" s="30"/>
    </row>
    <row r="1280" spans="12:12" x14ac:dyDescent="0.5">
      <c r="L1280" s="30"/>
    </row>
    <row r="1281" spans="12:12" x14ac:dyDescent="0.5">
      <c r="L1281" s="30"/>
    </row>
    <row r="1282" spans="12:12" x14ac:dyDescent="0.5">
      <c r="L1282" s="30"/>
    </row>
    <row r="1283" spans="12:12" x14ac:dyDescent="0.5">
      <c r="L1283" s="30"/>
    </row>
    <row r="1284" spans="12:12" x14ac:dyDescent="0.5">
      <c r="L1284" s="30"/>
    </row>
    <row r="1285" spans="12:12" x14ac:dyDescent="0.5">
      <c r="L1285" s="30"/>
    </row>
    <row r="1286" spans="12:12" x14ac:dyDescent="0.5">
      <c r="L1286" s="30"/>
    </row>
    <row r="1287" spans="12:12" x14ac:dyDescent="0.5">
      <c r="L1287" s="30"/>
    </row>
    <row r="1288" spans="12:12" x14ac:dyDescent="0.5">
      <c r="L1288" s="30"/>
    </row>
    <row r="1289" spans="12:12" x14ac:dyDescent="0.5">
      <c r="L1289" s="30"/>
    </row>
    <row r="1290" spans="12:12" x14ac:dyDescent="0.5">
      <c r="L1290" s="30"/>
    </row>
    <row r="1291" spans="12:12" x14ac:dyDescent="0.5">
      <c r="L1291" s="30"/>
    </row>
    <row r="1292" spans="12:12" x14ac:dyDescent="0.5">
      <c r="L1292" s="30"/>
    </row>
    <row r="1293" spans="12:12" x14ac:dyDescent="0.5">
      <c r="L1293" s="30"/>
    </row>
    <row r="1294" spans="12:12" x14ac:dyDescent="0.5">
      <c r="L1294" s="30"/>
    </row>
    <row r="1295" spans="12:12" x14ac:dyDescent="0.5">
      <c r="L1295" s="30"/>
    </row>
    <row r="1296" spans="12:12" x14ac:dyDescent="0.5">
      <c r="L1296" s="30"/>
    </row>
    <row r="1297" spans="12:12" x14ac:dyDescent="0.5">
      <c r="L1297" s="30"/>
    </row>
    <row r="1298" spans="12:12" x14ac:dyDescent="0.5">
      <c r="L1298" s="30"/>
    </row>
    <row r="1299" spans="12:12" x14ac:dyDescent="0.5">
      <c r="L1299" s="30"/>
    </row>
    <row r="1300" spans="12:12" x14ac:dyDescent="0.5">
      <c r="L1300" s="30"/>
    </row>
    <row r="1301" spans="12:12" x14ac:dyDescent="0.5">
      <c r="L1301" s="30"/>
    </row>
    <row r="1302" spans="12:12" x14ac:dyDescent="0.5">
      <c r="L1302" s="30"/>
    </row>
    <row r="1303" spans="12:12" x14ac:dyDescent="0.5">
      <c r="L1303" s="30"/>
    </row>
    <row r="1304" spans="12:12" x14ac:dyDescent="0.5">
      <c r="L1304" s="30"/>
    </row>
    <row r="1305" spans="12:12" x14ac:dyDescent="0.5">
      <c r="L1305" s="30"/>
    </row>
    <row r="1306" spans="12:12" x14ac:dyDescent="0.5">
      <c r="L1306" s="30"/>
    </row>
    <row r="1307" spans="12:12" x14ac:dyDescent="0.5">
      <c r="L1307" s="30"/>
    </row>
    <row r="1308" spans="12:12" x14ac:dyDescent="0.5">
      <c r="L1308" s="30"/>
    </row>
    <row r="1309" spans="12:12" x14ac:dyDescent="0.5">
      <c r="L1309" s="30"/>
    </row>
    <row r="1310" spans="12:12" x14ac:dyDescent="0.5">
      <c r="L1310" s="30"/>
    </row>
    <row r="1311" spans="12:12" x14ac:dyDescent="0.5">
      <c r="L1311" s="30"/>
    </row>
    <row r="1312" spans="12:12" x14ac:dyDescent="0.5">
      <c r="L1312" s="30"/>
    </row>
    <row r="1313" spans="12:12" x14ac:dyDescent="0.5">
      <c r="L1313" s="30"/>
    </row>
    <row r="1314" spans="12:12" x14ac:dyDescent="0.5">
      <c r="L1314" s="30"/>
    </row>
    <row r="1315" spans="12:12" x14ac:dyDescent="0.5">
      <c r="L1315" s="30"/>
    </row>
    <row r="1316" spans="12:12" x14ac:dyDescent="0.5">
      <c r="L1316" s="30"/>
    </row>
    <row r="1317" spans="12:12" x14ac:dyDescent="0.5">
      <c r="L1317" s="30"/>
    </row>
    <row r="1318" spans="12:12" x14ac:dyDescent="0.5">
      <c r="L1318" s="30"/>
    </row>
    <row r="1319" spans="12:12" x14ac:dyDescent="0.5">
      <c r="L1319" s="30"/>
    </row>
    <row r="1320" spans="12:12" x14ac:dyDescent="0.5">
      <c r="L1320" s="30"/>
    </row>
    <row r="1321" spans="12:12" x14ac:dyDescent="0.5">
      <c r="L1321" s="30"/>
    </row>
    <row r="1322" spans="12:12" x14ac:dyDescent="0.5">
      <c r="L1322" s="30"/>
    </row>
    <row r="1323" spans="12:12" x14ac:dyDescent="0.5">
      <c r="L1323" s="30"/>
    </row>
    <row r="1324" spans="12:12" x14ac:dyDescent="0.5">
      <c r="L1324" s="30"/>
    </row>
    <row r="1325" spans="12:12" x14ac:dyDescent="0.5">
      <c r="L1325" s="30"/>
    </row>
    <row r="1326" spans="12:12" x14ac:dyDescent="0.5">
      <c r="L1326" s="30"/>
    </row>
    <row r="1327" spans="12:12" x14ac:dyDescent="0.5">
      <c r="L1327" s="30"/>
    </row>
    <row r="1328" spans="12:12" x14ac:dyDescent="0.5">
      <c r="L1328" s="30"/>
    </row>
    <row r="1329" spans="12:12" x14ac:dyDescent="0.5">
      <c r="L1329" s="30"/>
    </row>
    <row r="1330" spans="12:12" x14ac:dyDescent="0.5">
      <c r="L1330" s="30"/>
    </row>
    <row r="1331" spans="12:12" x14ac:dyDescent="0.5">
      <c r="L1331" s="30"/>
    </row>
    <row r="1332" spans="12:12" x14ac:dyDescent="0.5">
      <c r="L1332" s="30"/>
    </row>
    <row r="1333" spans="12:12" x14ac:dyDescent="0.5">
      <c r="L1333" s="30"/>
    </row>
    <row r="1334" spans="12:12" x14ac:dyDescent="0.5">
      <c r="L1334" s="30"/>
    </row>
    <row r="1335" spans="12:12" x14ac:dyDescent="0.5">
      <c r="L1335" s="30"/>
    </row>
    <row r="1336" spans="12:12" x14ac:dyDescent="0.5">
      <c r="L1336" s="30"/>
    </row>
    <row r="1337" spans="12:12" x14ac:dyDescent="0.5">
      <c r="L1337" s="30"/>
    </row>
    <row r="1338" spans="12:12" x14ac:dyDescent="0.5">
      <c r="L1338" s="30"/>
    </row>
    <row r="1339" spans="12:12" x14ac:dyDescent="0.5">
      <c r="L1339" s="30"/>
    </row>
    <row r="1340" spans="12:12" x14ac:dyDescent="0.5">
      <c r="L1340" s="30"/>
    </row>
    <row r="1341" spans="12:12" x14ac:dyDescent="0.5">
      <c r="L1341" s="30"/>
    </row>
    <row r="1342" spans="12:12" x14ac:dyDescent="0.5">
      <c r="L1342" s="30"/>
    </row>
    <row r="1343" spans="12:12" x14ac:dyDescent="0.5">
      <c r="L1343" s="30"/>
    </row>
    <row r="1344" spans="12:12" x14ac:dyDescent="0.5">
      <c r="L1344" s="30"/>
    </row>
    <row r="1345" spans="12:12" x14ac:dyDescent="0.5">
      <c r="L1345" s="30"/>
    </row>
    <row r="1346" spans="12:12" x14ac:dyDescent="0.5">
      <c r="L1346" s="30"/>
    </row>
    <row r="1347" spans="12:12" x14ac:dyDescent="0.5">
      <c r="L1347" s="30"/>
    </row>
    <row r="1348" spans="12:12" x14ac:dyDescent="0.5">
      <c r="L1348" s="30"/>
    </row>
    <row r="1349" spans="12:12" x14ac:dyDescent="0.5">
      <c r="L1349" s="30"/>
    </row>
    <row r="1350" spans="12:12" x14ac:dyDescent="0.5">
      <c r="L1350" s="30"/>
    </row>
    <row r="1351" spans="12:12" x14ac:dyDescent="0.5">
      <c r="L1351" s="30"/>
    </row>
    <row r="1352" spans="12:12" x14ac:dyDescent="0.5">
      <c r="L1352" s="30"/>
    </row>
    <row r="1353" spans="12:12" x14ac:dyDescent="0.5">
      <c r="L1353" s="30"/>
    </row>
    <row r="1354" spans="12:12" x14ac:dyDescent="0.5">
      <c r="L1354" s="30"/>
    </row>
    <row r="1355" spans="12:12" x14ac:dyDescent="0.5">
      <c r="L1355" s="30"/>
    </row>
    <row r="1356" spans="12:12" x14ac:dyDescent="0.5">
      <c r="L1356" s="30"/>
    </row>
    <row r="1357" spans="12:12" x14ac:dyDescent="0.5">
      <c r="L1357" s="30"/>
    </row>
    <row r="1358" spans="12:12" x14ac:dyDescent="0.5">
      <c r="L1358" s="30"/>
    </row>
    <row r="1359" spans="12:12" x14ac:dyDescent="0.5">
      <c r="L1359" s="30"/>
    </row>
    <row r="1360" spans="12:12" x14ac:dyDescent="0.5">
      <c r="L1360" s="30"/>
    </row>
    <row r="1361" spans="12:12" x14ac:dyDescent="0.5">
      <c r="L1361" s="30"/>
    </row>
    <row r="1362" spans="12:12" x14ac:dyDescent="0.5">
      <c r="L1362" s="30"/>
    </row>
    <row r="1363" spans="12:12" x14ac:dyDescent="0.5">
      <c r="L1363" s="30"/>
    </row>
    <row r="1364" spans="12:12" x14ac:dyDescent="0.5">
      <c r="L1364" s="30"/>
    </row>
    <row r="1365" spans="12:12" x14ac:dyDescent="0.5">
      <c r="L1365" s="30"/>
    </row>
    <row r="1366" spans="12:12" x14ac:dyDescent="0.5">
      <c r="L1366" s="30"/>
    </row>
    <row r="1367" spans="12:12" x14ac:dyDescent="0.5">
      <c r="L1367" s="30"/>
    </row>
    <row r="1368" spans="12:12" x14ac:dyDescent="0.5">
      <c r="L1368" s="30"/>
    </row>
    <row r="1369" spans="12:12" x14ac:dyDescent="0.5">
      <c r="L1369" s="30"/>
    </row>
    <row r="1370" spans="12:12" x14ac:dyDescent="0.5">
      <c r="L1370" s="30"/>
    </row>
    <row r="1371" spans="12:12" x14ac:dyDescent="0.5">
      <c r="L1371" s="30"/>
    </row>
    <row r="1372" spans="12:12" x14ac:dyDescent="0.5">
      <c r="L1372" s="30"/>
    </row>
    <row r="1373" spans="12:12" x14ac:dyDescent="0.5">
      <c r="L1373" s="30"/>
    </row>
    <row r="1374" spans="12:12" x14ac:dyDescent="0.5">
      <c r="L1374" s="30"/>
    </row>
    <row r="1375" spans="12:12" x14ac:dyDescent="0.5">
      <c r="L1375" s="30"/>
    </row>
    <row r="1376" spans="12:12" x14ac:dyDescent="0.5">
      <c r="L1376" s="30"/>
    </row>
    <row r="1377" spans="12:12" x14ac:dyDescent="0.5">
      <c r="L1377" s="30"/>
    </row>
    <row r="1378" spans="12:12" x14ac:dyDescent="0.5">
      <c r="L1378" s="30"/>
    </row>
    <row r="1379" spans="12:12" x14ac:dyDescent="0.5">
      <c r="L1379" s="30"/>
    </row>
    <row r="1380" spans="12:12" x14ac:dyDescent="0.5">
      <c r="L1380" s="30"/>
    </row>
    <row r="1381" spans="12:12" x14ac:dyDescent="0.5">
      <c r="L1381" s="30"/>
    </row>
    <row r="1382" spans="12:12" x14ac:dyDescent="0.5">
      <c r="L1382" s="30"/>
    </row>
    <row r="1383" spans="12:12" x14ac:dyDescent="0.5">
      <c r="L1383" s="30"/>
    </row>
    <row r="1384" spans="12:12" x14ac:dyDescent="0.5">
      <c r="L1384" s="30"/>
    </row>
    <row r="1385" spans="12:12" x14ac:dyDescent="0.5">
      <c r="L1385" s="30"/>
    </row>
    <row r="1386" spans="12:12" x14ac:dyDescent="0.5">
      <c r="L1386" s="30"/>
    </row>
    <row r="1387" spans="12:12" x14ac:dyDescent="0.5">
      <c r="L1387" s="30"/>
    </row>
    <row r="1388" spans="12:12" x14ac:dyDescent="0.5">
      <c r="L1388" s="30"/>
    </row>
    <row r="1389" spans="12:12" x14ac:dyDescent="0.5">
      <c r="L1389" s="30"/>
    </row>
    <row r="1390" spans="12:12" x14ac:dyDescent="0.5">
      <c r="L1390" s="30"/>
    </row>
    <row r="1391" spans="12:12" x14ac:dyDescent="0.5">
      <c r="L1391" s="30"/>
    </row>
    <row r="1392" spans="12:12" x14ac:dyDescent="0.5">
      <c r="L1392" s="30"/>
    </row>
    <row r="1393" spans="12:12" x14ac:dyDescent="0.5">
      <c r="L1393" s="30"/>
    </row>
    <row r="1394" spans="12:12" x14ac:dyDescent="0.5">
      <c r="L1394" s="30"/>
    </row>
    <row r="1395" spans="12:12" x14ac:dyDescent="0.5">
      <c r="L1395" s="30"/>
    </row>
    <row r="1396" spans="12:12" x14ac:dyDescent="0.5">
      <c r="L1396" s="30"/>
    </row>
    <row r="1397" spans="12:12" x14ac:dyDescent="0.5">
      <c r="L1397" s="30"/>
    </row>
    <row r="1398" spans="12:12" x14ac:dyDescent="0.5">
      <c r="L1398" s="30"/>
    </row>
    <row r="1399" spans="12:12" x14ac:dyDescent="0.5">
      <c r="L1399" s="30"/>
    </row>
    <row r="1400" spans="12:12" x14ac:dyDescent="0.5">
      <c r="L1400" s="30"/>
    </row>
    <row r="1401" spans="12:12" x14ac:dyDescent="0.5">
      <c r="L1401" s="30"/>
    </row>
    <row r="1402" spans="12:12" x14ac:dyDescent="0.5">
      <c r="L1402" s="30"/>
    </row>
    <row r="1403" spans="12:12" x14ac:dyDescent="0.5">
      <c r="L1403" s="30"/>
    </row>
    <row r="1404" spans="12:12" x14ac:dyDescent="0.5">
      <c r="L1404" s="30"/>
    </row>
    <row r="1405" spans="12:12" x14ac:dyDescent="0.5">
      <c r="L1405" s="30"/>
    </row>
    <row r="1406" spans="12:12" x14ac:dyDescent="0.5">
      <c r="L1406" s="30"/>
    </row>
    <row r="1407" spans="12:12" x14ac:dyDescent="0.5">
      <c r="L1407" s="30"/>
    </row>
    <row r="1408" spans="12:12" x14ac:dyDescent="0.5">
      <c r="L1408" s="30"/>
    </row>
    <row r="1409" spans="12:12" x14ac:dyDescent="0.5">
      <c r="L1409" s="30"/>
    </row>
    <row r="1410" spans="12:12" x14ac:dyDescent="0.5">
      <c r="L1410" s="30"/>
    </row>
    <row r="1411" spans="12:12" x14ac:dyDescent="0.5">
      <c r="L1411" s="30"/>
    </row>
    <row r="1412" spans="12:12" x14ac:dyDescent="0.5">
      <c r="L1412" s="30"/>
    </row>
    <row r="1413" spans="12:12" x14ac:dyDescent="0.5">
      <c r="L1413" s="30"/>
    </row>
    <row r="1414" spans="12:12" x14ac:dyDescent="0.5">
      <c r="L1414" s="30"/>
    </row>
    <row r="1415" spans="12:12" x14ac:dyDescent="0.5">
      <c r="L1415" s="30"/>
    </row>
    <row r="1416" spans="12:12" x14ac:dyDescent="0.5">
      <c r="L1416" s="30"/>
    </row>
    <row r="1417" spans="12:12" x14ac:dyDescent="0.5">
      <c r="L1417" s="30"/>
    </row>
    <row r="1418" spans="12:12" x14ac:dyDescent="0.5">
      <c r="L1418" s="30"/>
    </row>
    <row r="1419" spans="12:12" x14ac:dyDescent="0.5">
      <c r="L1419" s="30"/>
    </row>
    <row r="1420" spans="12:12" x14ac:dyDescent="0.5">
      <c r="L1420" s="30"/>
    </row>
    <row r="1421" spans="12:12" x14ac:dyDescent="0.5">
      <c r="L1421" s="30"/>
    </row>
    <row r="1422" spans="12:12" x14ac:dyDescent="0.5">
      <c r="L1422" s="30"/>
    </row>
    <row r="1423" spans="12:12" x14ac:dyDescent="0.5">
      <c r="L1423" s="30"/>
    </row>
    <row r="1424" spans="12:12" x14ac:dyDescent="0.5">
      <c r="L1424" s="30"/>
    </row>
    <row r="1425" spans="12:12" x14ac:dyDescent="0.5">
      <c r="L1425" s="30"/>
    </row>
    <row r="1426" spans="12:12" x14ac:dyDescent="0.5">
      <c r="L1426" s="30"/>
    </row>
    <row r="1427" spans="12:12" x14ac:dyDescent="0.5">
      <c r="L1427" s="30"/>
    </row>
    <row r="1428" spans="12:12" x14ac:dyDescent="0.5">
      <c r="L1428" s="30"/>
    </row>
    <row r="1429" spans="12:12" x14ac:dyDescent="0.5">
      <c r="L1429" s="30"/>
    </row>
    <row r="1430" spans="12:12" x14ac:dyDescent="0.5">
      <c r="L1430" s="30"/>
    </row>
    <row r="1431" spans="12:12" x14ac:dyDescent="0.5">
      <c r="L1431" s="30"/>
    </row>
    <row r="1432" spans="12:12" x14ac:dyDescent="0.5">
      <c r="L1432" s="30"/>
    </row>
    <row r="1433" spans="12:12" x14ac:dyDescent="0.5">
      <c r="L1433" s="30"/>
    </row>
    <row r="1434" spans="12:12" x14ac:dyDescent="0.5">
      <c r="L1434" s="30"/>
    </row>
    <row r="1435" spans="12:12" x14ac:dyDescent="0.5">
      <c r="L1435" s="30"/>
    </row>
    <row r="1436" spans="12:12" x14ac:dyDescent="0.5">
      <c r="L1436" s="30"/>
    </row>
    <row r="1437" spans="12:12" x14ac:dyDescent="0.5">
      <c r="L1437" s="30"/>
    </row>
    <row r="1438" spans="12:12" x14ac:dyDescent="0.5">
      <c r="L1438" s="30"/>
    </row>
    <row r="1439" spans="12:12" x14ac:dyDescent="0.5">
      <c r="L1439" s="30"/>
    </row>
    <row r="1440" spans="12:12" x14ac:dyDescent="0.5">
      <c r="L1440" s="30"/>
    </row>
    <row r="1441" spans="12:12" x14ac:dyDescent="0.5">
      <c r="L1441" s="30"/>
    </row>
    <row r="1442" spans="12:12" x14ac:dyDescent="0.5">
      <c r="L1442" s="30"/>
    </row>
    <row r="1443" spans="12:12" x14ac:dyDescent="0.5">
      <c r="L1443" s="30"/>
    </row>
    <row r="1444" spans="12:12" x14ac:dyDescent="0.5">
      <c r="L1444" s="30"/>
    </row>
    <row r="1445" spans="12:12" x14ac:dyDescent="0.5">
      <c r="L1445" s="30"/>
    </row>
    <row r="1446" spans="12:12" x14ac:dyDescent="0.5">
      <c r="L1446" s="30"/>
    </row>
    <row r="1447" spans="12:12" x14ac:dyDescent="0.5">
      <c r="L1447" s="30"/>
    </row>
    <row r="1448" spans="12:12" x14ac:dyDescent="0.5">
      <c r="L1448" s="30"/>
    </row>
    <row r="1449" spans="12:12" x14ac:dyDescent="0.5">
      <c r="L1449" s="30"/>
    </row>
    <row r="1450" spans="12:12" x14ac:dyDescent="0.5">
      <c r="L1450" s="30"/>
    </row>
    <row r="1451" spans="12:12" x14ac:dyDescent="0.5">
      <c r="L1451" s="30"/>
    </row>
    <row r="1452" spans="12:12" x14ac:dyDescent="0.5">
      <c r="L1452" s="30"/>
    </row>
    <row r="1453" spans="12:12" x14ac:dyDescent="0.5">
      <c r="L1453" s="30"/>
    </row>
    <row r="1454" spans="12:12" x14ac:dyDescent="0.5">
      <c r="L1454" s="30"/>
    </row>
    <row r="1455" spans="12:12" x14ac:dyDescent="0.5">
      <c r="L1455" s="30"/>
    </row>
    <row r="1456" spans="12:12" x14ac:dyDescent="0.5">
      <c r="L1456" s="30"/>
    </row>
    <row r="1457" spans="12:12" x14ac:dyDescent="0.5">
      <c r="L1457" s="30"/>
    </row>
    <row r="1458" spans="12:12" x14ac:dyDescent="0.5">
      <c r="L1458" s="30"/>
    </row>
    <row r="1459" spans="12:12" x14ac:dyDescent="0.5">
      <c r="L1459" s="30"/>
    </row>
    <row r="1460" spans="12:12" x14ac:dyDescent="0.5">
      <c r="L1460" s="30"/>
    </row>
    <row r="1461" spans="12:12" x14ac:dyDescent="0.5">
      <c r="L1461" s="30"/>
    </row>
    <row r="1462" spans="12:12" x14ac:dyDescent="0.5">
      <c r="L1462" s="30"/>
    </row>
    <row r="1463" spans="12:12" x14ac:dyDescent="0.5">
      <c r="L1463" s="30"/>
    </row>
    <row r="1464" spans="12:12" x14ac:dyDescent="0.5">
      <c r="L1464" s="30"/>
    </row>
    <row r="1465" spans="12:12" x14ac:dyDescent="0.5">
      <c r="L1465" s="30"/>
    </row>
    <row r="1466" spans="12:12" x14ac:dyDescent="0.5">
      <c r="L1466" s="30"/>
    </row>
    <row r="1467" spans="12:12" x14ac:dyDescent="0.5">
      <c r="L1467" s="30"/>
    </row>
    <row r="1468" spans="12:12" x14ac:dyDescent="0.5">
      <c r="L1468" s="30"/>
    </row>
    <row r="1469" spans="12:12" x14ac:dyDescent="0.5">
      <c r="L1469" s="30"/>
    </row>
    <row r="1470" spans="12:12" x14ac:dyDescent="0.5">
      <c r="L1470" s="30"/>
    </row>
    <row r="1471" spans="12:12" x14ac:dyDescent="0.5">
      <c r="L1471" s="30"/>
    </row>
    <row r="1472" spans="12:12" x14ac:dyDescent="0.5">
      <c r="L1472" s="30"/>
    </row>
    <row r="1473" spans="12:12" x14ac:dyDescent="0.5">
      <c r="L1473" s="30"/>
    </row>
    <row r="1474" spans="12:12" x14ac:dyDescent="0.5">
      <c r="L1474" s="30"/>
    </row>
    <row r="1475" spans="12:12" x14ac:dyDescent="0.5">
      <c r="L1475" s="30"/>
    </row>
    <row r="1476" spans="12:12" x14ac:dyDescent="0.5">
      <c r="L1476" s="30"/>
    </row>
    <row r="1477" spans="12:12" x14ac:dyDescent="0.5">
      <c r="L1477" s="30"/>
    </row>
    <row r="1478" spans="12:12" x14ac:dyDescent="0.5">
      <c r="L1478" s="30"/>
    </row>
    <row r="1479" spans="12:12" x14ac:dyDescent="0.5">
      <c r="L1479" s="30"/>
    </row>
    <row r="1480" spans="12:12" x14ac:dyDescent="0.5">
      <c r="L1480" s="30"/>
    </row>
    <row r="1481" spans="12:12" x14ac:dyDescent="0.5">
      <c r="L1481" s="30"/>
    </row>
    <row r="1482" spans="12:12" x14ac:dyDescent="0.5">
      <c r="L1482" s="30"/>
    </row>
    <row r="1483" spans="12:12" x14ac:dyDescent="0.5">
      <c r="L1483" s="30"/>
    </row>
    <row r="1484" spans="12:12" x14ac:dyDescent="0.5">
      <c r="L1484" s="30"/>
    </row>
    <row r="1485" spans="12:12" x14ac:dyDescent="0.5">
      <c r="L1485" s="30"/>
    </row>
    <row r="1486" spans="12:12" x14ac:dyDescent="0.5">
      <c r="L1486" s="30"/>
    </row>
    <row r="1487" spans="12:12" x14ac:dyDescent="0.5">
      <c r="L1487" s="30"/>
    </row>
    <row r="1488" spans="12:12" x14ac:dyDescent="0.5">
      <c r="L1488" s="30"/>
    </row>
    <row r="1489" spans="12:12" x14ac:dyDescent="0.5">
      <c r="L1489" s="30"/>
    </row>
    <row r="1490" spans="12:12" x14ac:dyDescent="0.5">
      <c r="L1490" s="30"/>
    </row>
    <row r="1491" spans="12:12" x14ac:dyDescent="0.5">
      <c r="L1491" s="30"/>
    </row>
    <row r="1492" spans="12:12" x14ac:dyDescent="0.5">
      <c r="L1492" s="30"/>
    </row>
    <row r="1493" spans="12:12" x14ac:dyDescent="0.5">
      <c r="L1493" s="30"/>
    </row>
    <row r="1494" spans="12:12" x14ac:dyDescent="0.5">
      <c r="L1494" s="30"/>
    </row>
    <row r="1495" spans="12:12" x14ac:dyDescent="0.5">
      <c r="L1495" s="30"/>
    </row>
    <row r="1496" spans="12:12" x14ac:dyDescent="0.5">
      <c r="L1496" s="30"/>
    </row>
    <row r="1497" spans="12:12" x14ac:dyDescent="0.5">
      <c r="L1497" s="30"/>
    </row>
    <row r="1498" spans="12:12" x14ac:dyDescent="0.5">
      <c r="L1498" s="30"/>
    </row>
    <row r="1499" spans="12:12" x14ac:dyDescent="0.5">
      <c r="L1499" s="30"/>
    </row>
    <row r="1500" spans="12:12" x14ac:dyDescent="0.5">
      <c r="L1500" s="30"/>
    </row>
    <row r="1501" spans="12:12" x14ac:dyDescent="0.5">
      <c r="L1501" s="30"/>
    </row>
    <row r="1502" spans="12:12" x14ac:dyDescent="0.5">
      <c r="L1502" s="30"/>
    </row>
    <row r="1503" spans="12:12" x14ac:dyDescent="0.5">
      <c r="L1503" s="30"/>
    </row>
    <row r="1504" spans="12:12" x14ac:dyDescent="0.5">
      <c r="L1504" s="30"/>
    </row>
    <row r="1505" spans="12:12" x14ac:dyDescent="0.5">
      <c r="L1505" s="30"/>
    </row>
    <row r="1506" spans="12:12" x14ac:dyDescent="0.5">
      <c r="L1506" s="30"/>
    </row>
    <row r="1507" spans="12:12" x14ac:dyDescent="0.5">
      <c r="L1507" s="30"/>
    </row>
    <row r="1508" spans="12:12" x14ac:dyDescent="0.5">
      <c r="L1508" s="30"/>
    </row>
    <row r="1509" spans="12:12" x14ac:dyDescent="0.5">
      <c r="L1509" s="30"/>
    </row>
    <row r="1510" spans="12:12" x14ac:dyDescent="0.5">
      <c r="L1510" s="30"/>
    </row>
    <row r="1511" spans="12:12" x14ac:dyDescent="0.5">
      <c r="L1511" s="30"/>
    </row>
    <row r="1512" spans="12:12" x14ac:dyDescent="0.5">
      <c r="L1512" s="30"/>
    </row>
    <row r="1513" spans="12:12" x14ac:dyDescent="0.5">
      <c r="L1513" s="30"/>
    </row>
    <row r="1514" spans="12:12" x14ac:dyDescent="0.5">
      <c r="L1514" s="30"/>
    </row>
    <row r="1515" spans="12:12" x14ac:dyDescent="0.5">
      <c r="L1515" s="30"/>
    </row>
    <row r="1516" spans="12:12" x14ac:dyDescent="0.5">
      <c r="L1516" s="30"/>
    </row>
    <row r="1517" spans="12:12" x14ac:dyDescent="0.5">
      <c r="L1517" s="30"/>
    </row>
    <row r="1518" spans="12:12" x14ac:dyDescent="0.5">
      <c r="L1518" s="30"/>
    </row>
    <row r="1519" spans="12:12" x14ac:dyDescent="0.5">
      <c r="L1519" s="30"/>
    </row>
    <row r="1520" spans="12:12" x14ac:dyDescent="0.5">
      <c r="L1520" s="30"/>
    </row>
    <row r="1521" spans="12:12" x14ac:dyDescent="0.5">
      <c r="L1521" s="30"/>
    </row>
    <row r="1522" spans="12:12" x14ac:dyDescent="0.5">
      <c r="L1522" s="30"/>
    </row>
    <row r="1523" spans="12:12" x14ac:dyDescent="0.5">
      <c r="L1523" s="30"/>
    </row>
    <row r="1524" spans="12:12" x14ac:dyDescent="0.5">
      <c r="L1524" s="30"/>
    </row>
    <row r="1525" spans="12:12" x14ac:dyDescent="0.5">
      <c r="L1525" s="30"/>
    </row>
    <row r="1526" spans="12:12" x14ac:dyDescent="0.5">
      <c r="L1526" s="30"/>
    </row>
    <row r="1527" spans="12:12" x14ac:dyDescent="0.5">
      <c r="L1527" s="30"/>
    </row>
    <row r="1528" spans="12:12" x14ac:dyDescent="0.5">
      <c r="L1528" s="30"/>
    </row>
    <row r="1529" spans="12:12" x14ac:dyDescent="0.5">
      <c r="L1529" s="30"/>
    </row>
    <row r="1530" spans="12:12" x14ac:dyDescent="0.5">
      <c r="L1530" s="30"/>
    </row>
    <row r="1531" spans="12:12" x14ac:dyDescent="0.5">
      <c r="L1531" s="30"/>
    </row>
    <row r="1532" spans="12:12" x14ac:dyDescent="0.5">
      <c r="L1532" s="30"/>
    </row>
    <row r="1533" spans="12:12" x14ac:dyDescent="0.5">
      <c r="L1533" s="30"/>
    </row>
    <row r="1534" spans="12:12" x14ac:dyDescent="0.5">
      <c r="L1534" s="30"/>
    </row>
    <row r="1535" spans="12:12" x14ac:dyDescent="0.5">
      <c r="L1535" s="30"/>
    </row>
    <row r="1536" spans="12:12" x14ac:dyDescent="0.5">
      <c r="L1536" s="30"/>
    </row>
    <row r="1537" spans="12:12" x14ac:dyDescent="0.5">
      <c r="L1537" s="30"/>
    </row>
    <row r="1538" spans="12:12" x14ac:dyDescent="0.5">
      <c r="L1538" s="30"/>
    </row>
    <row r="1539" spans="12:12" x14ac:dyDescent="0.5">
      <c r="L1539" s="30"/>
    </row>
    <row r="1540" spans="12:12" x14ac:dyDescent="0.5">
      <c r="L1540" s="30"/>
    </row>
    <row r="1541" spans="12:12" x14ac:dyDescent="0.5">
      <c r="L1541" s="30"/>
    </row>
    <row r="1542" spans="12:12" x14ac:dyDescent="0.5">
      <c r="L1542" s="30"/>
    </row>
    <row r="1543" spans="12:12" x14ac:dyDescent="0.5">
      <c r="L1543" s="30"/>
    </row>
    <row r="1544" spans="12:12" x14ac:dyDescent="0.5">
      <c r="L1544" s="30"/>
    </row>
    <row r="1545" spans="12:12" x14ac:dyDescent="0.5">
      <c r="L1545" s="30"/>
    </row>
    <row r="1546" spans="12:12" x14ac:dyDescent="0.5">
      <c r="L1546" s="30"/>
    </row>
    <row r="1547" spans="12:12" x14ac:dyDescent="0.5">
      <c r="L1547" s="30"/>
    </row>
    <row r="1548" spans="12:12" x14ac:dyDescent="0.5">
      <c r="L1548" s="30"/>
    </row>
    <row r="1549" spans="12:12" x14ac:dyDescent="0.5">
      <c r="L1549" s="30"/>
    </row>
    <row r="1550" spans="12:12" x14ac:dyDescent="0.5">
      <c r="L1550" s="30"/>
    </row>
    <row r="1551" spans="12:12" x14ac:dyDescent="0.5">
      <c r="L1551" s="30"/>
    </row>
    <row r="1552" spans="12:12" x14ac:dyDescent="0.5">
      <c r="L1552" s="30"/>
    </row>
    <row r="1553" spans="12:12" x14ac:dyDescent="0.5">
      <c r="L1553" s="30"/>
    </row>
    <row r="1554" spans="12:12" x14ac:dyDescent="0.5">
      <c r="L1554" s="30"/>
    </row>
    <row r="1555" spans="12:12" x14ac:dyDescent="0.5">
      <c r="L1555" s="30"/>
    </row>
    <row r="1556" spans="12:12" x14ac:dyDescent="0.5">
      <c r="L1556" s="30"/>
    </row>
    <row r="1557" spans="12:12" x14ac:dyDescent="0.5">
      <c r="L1557" s="30"/>
    </row>
    <row r="1558" spans="12:12" x14ac:dyDescent="0.5">
      <c r="L1558" s="30"/>
    </row>
    <row r="1559" spans="12:12" x14ac:dyDescent="0.5">
      <c r="L1559" s="30"/>
    </row>
    <row r="1560" spans="12:12" x14ac:dyDescent="0.5">
      <c r="L1560" s="30"/>
    </row>
    <row r="1561" spans="12:12" x14ac:dyDescent="0.5">
      <c r="L1561" s="30"/>
    </row>
    <row r="1562" spans="12:12" x14ac:dyDescent="0.5">
      <c r="L1562" s="30"/>
    </row>
    <row r="1563" spans="12:12" x14ac:dyDescent="0.5">
      <c r="L1563" s="30"/>
    </row>
    <row r="1564" spans="12:12" x14ac:dyDescent="0.5">
      <c r="L1564" s="30"/>
    </row>
    <row r="1565" spans="12:12" x14ac:dyDescent="0.5">
      <c r="L1565" s="30"/>
    </row>
    <row r="1566" spans="12:12" x14ac:dyDescent="0.5">
      <c r="L1566" s="30"/>
    </row>
    <row r="1567" spans="12:12" x14ac:dyDescent="0.5">
      <c r="L1567" s="30"/>
    </row>
    <row r="1568" spans="12:12" x14ac:dyDescent="0.5">
      <c r="L1568" s="30"/>
    </row>
    <row r="1569" spans="12:12" x14ac:dyDescent="0.5">
      <c r="L1569" s="30"/>
    </row>
    <row r="1570" spans="12:12" x14ac:dyDescent="0.5">
      <c r="L1570" s="30"/>
    </row>
    <row r="1571" spans="12:12" x14ac:dyDescent="0.5">
      <c r="L1571" s="30"/>
    </row>
    <row r="1572" spans="12:12" x14ac:dyDescent="0.5">
      <c r="L1572" s="30"/>
    </row>
    <row r="1573" spans="12:12" x14ac:dyDescent="0.5">
      <c r="L1573" s="30"/>
    </row>
    <row r="1574" spans="12:12" x14ac:dyDescent="0.5">
      <c r="L1574" s="30"/>
    </row>
    <row r="1575" spans="12:12" x14ac:dyDescent="0.5">
      <c r="L1575" s="30"/>
    </row>
    <row r="1576" spans="12:12" x14ac:dyDescent="0.5">
      <c r="L1576" s="30"/>
    </row>
    <row r="1577" spans="12:12" x14ac:dyDescent="0.5">
      <c r="L1577" s="30"/>
    </row>
    <row r="1578" spans="12:12" x14ac:dyDescent="0.5">
      <c r="L1578" s="30"/>
    </row>
    <row r="1579" spans="12:12" x14ac:dyDescent="0.5">
      <c r="L1579" s="30"/>
    </row>
    <row r="1580" spans="12:12" x14ac:dyDescent="0.5">
      <c r="L1580" s="30"/>
    </row>
    <row r="1581" spans="12:12" x14ac:dyDescent="0.5">
      <c r="L1581" s="30"/>
    </row>
    <row r="1582" spans="12:12" x14ac:dyDescent="0.5">
      <c r="L1582" s="30"/>
    </row>
    <row r="1583" spans="12:12" x14ac:dyDescent="0.5">
      <c r="L1583" s="30"/>
    </row>
    <row r="1584" spans="12:12" x14ac:dyDescent="0.5">
      <c r="L1584" s="30"/>
    </row>
    <row r="1585" spans="12:12" x14ac:dyDescent="0.5">
      <c r="L1585" s="30"/>
    </row>
    <row r="1586" spans="12:12" x14ac:dyDescent="0.5">
      <c r="L1586" s="30"/>
    </row>
    <row r="1587" spans="12:12" x14ac:dyDescent="0.5">
      <c r="L1587" s="30"/>
    </row>
    <row r="1588" spans="12:12" x14ac:dyDescent="0.5">
      <c r="L1588" s="30"/>
    </row>
    <row r="1589" spans="12:12" x14ac:dyDescent="0.5">
      <c r="L1589" s="30"/>
    </row>
    <row r="1590" spans="12:12" x14ac:dyDescent="0.5">
      <c r="L1590" s="30"/>
    </row>
    <row r="1591" spans="12:12" x14ac:dyDescent="0.5">
      <c r="L1591" s="30"/>
    </row>
    <row r="1592" spans="12:12" x14ac:dyDescent="0.5">
      <c r="L1592" s="30"/>
    </row>
    <row r="1593" spans="12:12" x14ac:dyDescent="0.5">
      <c r="L1593" s="30"/>
    </row>
    <row r="1594" spans="12:12" x14ac:dyDescent="0.5">
      <c r="L1594" s="30"/>
    </row>
    <row r="1595" spans="12:12" x14ac:dyDescent="0.5">
      <c r="L1595" s="30"/>
    </row>
    <row r="1596" spans="12:12" x14ac:dyDescent="0.5">
      <c r="L1596" s="30"/>
    </row>
    <row r="1597" spans="12:12" x14ac:dyDescent="0.5">
      <c r="L1597" s="30"/>
    </row>
    <row r="1598" spans="12:12" x14ac:dyDescent="0.5">
      <c r="L1598" s="30"/>
    </row>
    <row r="1599" spans="12:12" x14ac:dyDescent="0.5">
      <c r="L1599" s="30"/>
    </row>
    <row r="1600" spans="12:12" x14ac:dyDescent="0.5">
      <c r="L1600" s="30"/>
    </row>
    <row r="1601" spans="12:12" x14ac:dyDescent="0.5">
      <c r="L1601" s="30"/>
    </row>
    <row r="1602" spans="12:12" x14ac:dyDescent="0.5">
      <c r="L1602" s="30"/>
    </row>
    <row r="1603" spans="12:12" x14ac:dyDescent="0.5">
      <c r="L1603" s="30"/>
    </row>
    <row r="1604" spans="12:12" x14ac:dyDescent="0.5">
      <c r="L1604" s="30"/>
    </row>
    <row r="1605" spans="12:12" x14ac:dyDescent="0.5">
      <c r="L1605" s="30"/>
    </row>
    <row r="1606" spans="12:12" x14ac:dyDescent="0.5">
      <c r="L1606" s="30"/>
    </row>
    <row r="1607" spans="12:12" x14ac:dyDescent="0.5">
      <c r="L1607" s="30"/>
    </row>
    <row r="1608" spans="12:12" x14ac:dyDescent="0.5">
      <c r="L1608" s="30"/>
    </row>
    <row r="1609" spans="12:12" x14ac:dyDescent="0.5">
      <c r="L1609" s="30"/>
    </row>
    <row r="1610" spans="12:12" x14ac:dyDescent="0.5">
      <c r="L1610" s="30"/>
    </row>
    <row r="1611" spans="12:12" x14ac:dyDescent="0.5">
      <c r="L1611" s="30"/>
    </row>
    <row r="1612" spans="12:12" x14ac:dyDescent="0.5">
      <c r="L1612" s="30"/>
    </row>
    <row r="1613" spans="12:12" x14ac:dyDescent="0.5">
      <c r="L1613" s="30"/>
    </row>
    <row r="1614" spans="12:12" x14ac:dyDescent="0.5">
      <c r="L1614" s="30"/>
    </row>
    <row r="1615" spans="12:12" x14ac:dyDescent="0.5">
      <c r="L1615" s="30"/>
    </row>
    <row r="1616" spans="12:12" x14ac:dyDescent="0.5">
      <c r="L1616" s="30"/>
    </row>
    <row r="1617" spans="12:12" x14ac:dyDescent="0.5">
      <c r="L1617" s="30"/>
    </row>
    <row r="1618" spans="12:12" x14ac:dyDescent="0.5">
      <c r="L1618" s="30"/>
    </row>
    <row r="1619" spans="12:12" x14ac:dyDescent="0.5">
      <c r="L1619" s="30"/>
    </row>
    <row r="1620" spans="12:12" x14ac:dyDescent="0.5">
      <c r="L1620" s="30"/>
    </row>
    <row r="1621" spans="12:12" x14ac:dyDescent="0.5">
      <c r="L1621" s="30"/>
    </row>
    <row r="1622" spans="12:12" x14ac:dyDescent="0.5">
      <c r="L1622" s="30"/>
    </row>
    <row r="1623" spans="12:12" x14ac:dyDescent="0.5">
      <c r="L1623" s="30"/>
    </row>
    <row r="1624" spans="12:12" x14ac:dyDescent="0.5">
      <c r="L1624" s="30"/>
    </row>
    <row r="1625" spans="12:12" x14ac:dyDescent="0.5">
      <c r="L1625" s="30"/>
    </row>
    <row r="1626" spans="12:12" x14ac:dyDescent="0.5">
      <c r="L1626" s="30"/>
    </row>
    <row r="1627" spans="12:12" x14ac:dyDescent="0.5">
      <c r="L1627" s="30"/>
    </row>
    <row r="1628" spans="12:12" x14ac:dyDescent="0.5">
      <c r="L1628" s="30"/>
    </row>
    <row r="1629" spans="12:12" x14ac:dyDescent="0.5">
      <c r="L1629" s="30"/>
    </row>
    <row r="1630" spans="12:12" x14ac:dyDescent="0.5">
      <c r="L1630" s="30"/>
    </row>
    <row r="1631" spans="12:12" x14ac:dyDescent="0.5">
      <c r="L1631" s="30"/>
    </row>
    <row r="1632" spans="12:12" x14ac:dyDescent="0.5">
      <c r="L1632" s="30"/>
    </row>
    <row r="1633" spans="12:12" x14ac:dyDescent="0.5">
      <c r="L1633" s="30"/>
    </row>
    <row r="1634" spans="12:12" x14ac:dyDescent="0.5">
      <c r="L1634" s="30"/>
    </row>
    <row r="1635" spans="12:12" x14ac:dyDescent="0.5">
      <c r="L1635" s="30"/>
    </row>
    <row r="1636" spans="12:12" x14ac:dyDescent="0.5">
      <c r="L1636" s="30"/>
    </row>
    <row r="1637" spans="12:12" x14ac:dyDescent="0.5">
      <c r="L1637" s="30"/>
    </row>
    <row r="1638" spans="12:12" x14ac:dyDescent="0.5">
      <c r="L1638" s="30"/>
    </row>
    <row r="1639" spans="12:12" x14ac:dyDescent="0.5">
      <c r="L1639" s="30"/>
    </row>
    <row r="1640" spans="12:12" x14ac:dyDescent="0.5">
      <c r="L1640" s="30"/>
    </row>
    <row r="1641" spans="12:12" x14ac:dyDescent="0.5">
      <c r="L1641" s="30"/>
    </row>
    <row r="1642" spans="12:12" x14ac:dyDescent="0.5">
      <c r="L1642" s="30"/>
    </row>
    <row r="1643" spans="12:12" x14ac:dyDescent="0.5">
      <c r="L1643" s="30"/>
    </row>
    <row r="1644" spans="12:12" x14ac:dyDescent="0.5">
      <c r="L1644" s="30"/>
    </row>
    <row r="1645" spans="12:12" x14ac:dyDescent="0.5">
      <c r="L1645" s="30"/>
    </row>
    <row r="1646" spans="12:12" x14ac:dyDescent="0.5">
      <c r="L1646" s="30"/>
    </row>
    <row r="1647" spans="12:12" x14ac:dyDescent="0.5">
      <c r="L1647" s="30"/>
    </row>
    <row r="1648" spans="12:12" x14ac:dyDescent="0.5">
      <c r="L1648" s="30"/>
    </row>
    <row r="1649" spans="12:12" x14ac:dyDescent="0.5">
      <c r="L1649" s="30"/>
    </row>
    <row r="1650" spans="12:12" x14ac:dyDescent="0.5">
      <c r="L1650" s="30"/>
    </row>
    <row r="1651" spans="12:12" x14ac:dyDescent="0.5">
      <c r="L1651" s="30"/>
    </row>
    <row r="1652" spans="12:12" x14ac:dyDescent="0.5">
      <c r="L1652" s="30"/>
    </row>
    <row r="1653" spans="12:12" x14ac:dyDescent="0.5">
      <c r="L1653" s="30"/>
    </row>
    <row r="1654" spans="12:12" x14ac:dyDescent="0.5">
      <c r="L1654" s="30"/>
    </row>
    <row r="1655" spans="12:12" x14ac:dyDescent="0.5">
      <c r="L1655" s="30"/>
    </row>
    <row r="1656" spans="12:12" x14ac:dyDescent="0.5">
      <c r="L1656" s="30"/>
    </row>
    <row r="1657" spans="12:12" x14ac:dyDescent="0.5">
      <c r="L1657" s="30"/>
    </row>
    <row r="1658" spans="12:12" x14ac:dyDescent="0.5">
      <c r="L1658" s="30"/>
    </row>
    <row r="1659" spans="12:12" x14ac:dyDescent="0.5">
      <c r="L1659" s="30"/>
    </row>
    <row r="1660" spans="12:12" x14ac:dyDescent="0.5">
      <c r="L1660" s="30"/>
    </row>
    <row r="1661" spans="12:12" x14ac:dyDescent="0.5">
      <c r="L1661" s="30"/>
    </row>
    <row r="1662" spans="12:12" x14ac:dyDescent="0.5">
      <c r="L1662" s="30"/>
    </row>
    <row r="1663" spans="12:12" x14ac:dyDescent="0.5">
      <c r="L1663" s="30"/>
    </row>
    <row r="1664" spans="12:12" x14ac:dyDescent="0.5">
      <c r="L1664" s="30"/>
    </row>
    <row r="1665" spans="12:12" x14ac:dyDescent="0.5">
      <c r="L1665" s="30"/>
    </row>
    <row r="1666" spans="12:12" x14ac:dyDescent="0.5">
      <c r="L1666" s="30"/>
    </row>
    <row r="1667" spans="12:12" x14ac:dyDescent="0.5">
      <c r="L1667" s="30"/>
    </row>
    <row r="1668" spans="12:12" x14ac:dyDescent="0.5">
      <c r="L1668" s="30"/>
    </row>
    <row r="1669" spans="12:12" x14ac:dyDescent="0.5">
      <c r="L1669" s="30"/>
    </row>
    <row r="1670" spans="12:12" x14ac:dyDescent="0.5">
      <c r="L1670" s="30"/>
    </row>
    <row r="1671" spans="12:12" x14ac:dyDescent="0.5">
      <c r="L1671" s="30"/>
    </row>
    <row r="1672" spans="12:12" x14ac:dyDescent="0.5">
      <c r="L1672" s="30"/>
    </row>
    <row r="1673" spans="12:12" x14ac:dyDescent="0.5">
      <c r="L1673" s="30"/>
    </row>
    <row r="1674" spans="12:12" x14ac:dyDescent="0.5">
      <c r="L1674" s="30"/>
    </row>
    <row r="1675" spans="12:12" x14ac:dyDescent="0.5">
      <c r="L1675" s="30"/>
    </row>
    <row r="1676" spans="12:12" x14ac:dyDescent="0.5">
      <c r="L1676" s="30"/>
    </row>
    <row r="1677" spans="12:12" x14ac:dyDescent="0.5">
      <c r="L1677" s="30"/>
    </row>
    <row r="1678" spans="12:12" x14ac:dyDescent="0.5">
      <c r="L1678" s="30"/>
    </row>
    <row r="1679" spans="12:12" x14ac:dyDescent="0.5">
      <c r="L1679" s="30"/>
    </row>
    <row r="1680" spans="12:12" x14ac:dyDescent="0.5">
      <c r="L1680" s="30"/>
    </row>
    <row r="1681" spans="12:12" x14ac:dyDescent="0.5">
      <c r="L1681" s="30"/>
    </row>
    <row r="1682" spans="12:12" x14ac:dyDescent="0.5">
      <c r="L1682" s="30"/>
    </row>
    <row r="1683" spans="12:12" x14ac:dyDescent="0.5">
      <c r="L1683" s="30"/>
    </row>
    <row r="1684" spans="12:12" x14ac:dyDescent="0.5">
      <c r="L1684" s="30"/>
    </row>
    <row r="1685" spans="12:12" x14ac:dyDescent="0.5">
      <c r="L1685" s="30"/>
    </row>
    <row r="1686" spans="12:12" x14ac:dyDescent="0.5">
      <c r="L1686" s="30"/>
    </row>
    <row r="1687" spans="12:12" x14ac:dyDescent="0.5">
      <c r="L1687" s="30"/>
    </row>
    <row r="1688" spans="12:12" x14ac:dyDescent="0.5">
      <c r="L1688" s="30"/>
    </row>
    <row r="1689" spans="12:12" x14ac:dyDescent="0.5">
      <c r="L1689" s="30"/>
    </row>
    <row r="1690" spans="12:12" x14ac:dyDescent="0.5">
      <c r="L1690" s="30"/>
    </row>
    <row r="1691" spans="12:12" x14ac:dyDescent="0.5">
      <c r="L1691" s="30"/>
    </row>
    <row r="1692" spans="12:12" x14ac:dyDescent="0.5">
      <c r="L1692" s="30"/>
    </row>
    <row r="1693" spans="12:12" x14ac:dyDescent="0.5">
      <c r="L1693" s="30"/>
    </row>
    <row r="1694" spans="12:12" x14ac:dyDescent="0.5">
      <c r="L1694" s="30"/>
    </row>
    <row r="1695" spans="12:12" x14ac:dyDescent="0.5">
      <c r="L1695" s="30"/>
    </row>
    <row r="1696" spans="12:12" x14ac:dyDescent="0.5">
      <c r="L1696" s="30"/>
    </row>
    <row r="1697" spans="12:12" x14ac:dyDescent="0.5">
      <c r="L1697" s="30"/>
    </row>
    <row r="1698" spans="12:12" x14ac:dyDescent="0.5">
      <c r="L1698" s="30"/>
    </row>
    <row r="1699" spans="12:12" x14ac:dyDescent="0.5">
      <c r="L1699" s="30"/>
    </row>
    <row r="1700" spans="12:12" x14ac:dyDescent="0.5">
      <c r="L1700" s="30"/>
    </row>
    <row r="1701" spans="12:12" x14ac:dyDescent="0.5">
      <c r="L1701" s="30"/>
    </row>
    <row r="1702" spans="12:12" x14ac:dyDescent="0.5">
      <c r="L1702" s="30"/>
    </row>
    <row r="1703" spans="12:12" x14ac:dyDescent="0.5">
      <c r="L1703" s="30"/>
    </row>
    <row r="1704" spans="12:12" x14ac:dyDescent="0.5">
      <c r="L1704" s="30"/>
    </row>
    <row r="1705" spans="12:12" x14ac:dyDescent="0.5">
      <c r="L1705" s="30"/>
    </row>
    <row r="1706" spans="12:12" x14ac:dyDescent="0.5">
      <c r="L1706" s="30"/>
    </row>
    <row r="1707" spans="12:12" x14ac:dyDescent="0.5">
      <c r="L1707" s="30"/>
    </row>
    <row r="1708" spans="12:12" x14ac:dyDescent="0.5">
      <c r="L1708" s="30"/>
    </row>
    <row r="1709" spans="12:12" x14ac:dyDescent="0.5">
      <c r="L1709" s="30"/>
    </row>
    <row r="1710" spans="12:12" x14ac:dyDescent="0.5">
      <c r="L1710" s="30"/>
    </row>
    <row r="1711" spans="12:12" x14ac:dyDescent="0.5">
      <c r="L1711" s="30"/>
    </row>
    <row r="1712" spans="12:12" x14ac:dyDescent="0.5">
      <c r="L1712" s="30"/>
    </row>
    <row r="1713" spans="12:12" x14ac:dyDescent="0.5">
      <c r="L1713" s="30"/>
    </row>
    <row r="1714" spans="12:12" x14ac:dyDescent="0.5">
      <c r="L1714" s="30"/>
    </row>
    <row r="1715" spans="12:12" x14ac:dyDescent="0.5">
      <c r="L1715" s="30"/>
    </row>
    <row r="1716" spans="12:12" x14ac:dyDescent="0.5">
      <c r="L1716" s="30"/>
    </row>
    <row r="1717" spans="12:12" x14ac:dyDescent="0.5">
      <c r="L1717" s="30"/>
    </row>
    <row r="1718" spans="12:12" x14ac:dyDescent="0.5">
      <c r="L1718" s="30"/>
    </row>
    <row r="1719" spans="12:12" x14ac:dyDescent="0.5">
      <c r="L1719" s="30"/>
    </row>
    <row r="1720" spans="12:12" x14ac:dyDescent="0.5">
      <c r="L1720" s="30"/>
    </row>
    <row r="1721" spans="12:12" x14ac:dyDescent="0.5">
      <c r="L1721" s="30"/>
    </row>
    <row r="1722" spans="12:12" x14ac:dyDescent="0.5">
      <c r="L1722" s="30"/>
    </row>
    <row r="1723" spans="12:12" x14ac:dyDescent="0.5">
      <c r="L1723" s="30"/>
    </row>
    <row r="1724" spans="12:12" x14ac:dyDescent="0.5">
      <c r="L1724" s="30"/>
    </row>
    <row r="1725" spans="12:12" x14ac:dyDescent="0.5">
      <c r="L1725" s="30"/>
    </row>
    <row r="1726" spans="12:12" x14ac:dyDescent="0.5">
      <c r="L1726" s="30"/>
    </row>
    <row r="1727" spans="12:12" x14ac:dyDescent="0.5">
      <c r="L1727" s="30"/>
    </row>
    <row r="1728" spans="12:12" x14ac:dyDescent="0.5">
      <c r="L1728" s="30"/>
    </row>
    <row r="1729" spans="12:12" x14ac:dyDescent="0.5">
      <c r="L1729" s="30"/>
    </row>
    <row r="1730" spans="12:12" x14ac:dyDescent="0.5">
      <c r="L1730" s="30"/>
    </row>
    <row r="1731" spans="12:12" x14ac:dyDescent="0.5">
      <c r="L1731" s="30"/>
    </row>
    <row r="1732" spans="12:12" x14ac:dyDescent="0.5">
      <c r="L1732" s="30"/>
    </row>
    <row r="1733" spans="12:12" x14ac:dyDescent="0.5">
      <c r="L1733" s="30"/>
    </row>
    <row r="1734" spans="12:12" x14ac:dyDescent="0.5">
      <c r="L1734" s="30"/>
    </row>
    <row r="1735" spans="12:12" x14ac:dyDescent="0.5">
      <c r="L1735" s="30"/>
    </row>
    <row r="1736" spans="12:12" x14ac:dyDescent="0.5">
      <c r="L1736" s="30"/>
    </row>
    <row r="1737" spans="12:12" x14ac:dyDescent="0.5">
      <c r="L1737" s="30"/>
    </row>
    <row r="1738" spans="12:12" x14ac:dyDescent="0.5">
      <c r="L1738" s="30"/>
    </row>
    <row r="1739" spans="12:12" x14ac:dyDescent="0.5">
      <c r="L1739" s="30"/>
    </row>
    <row r="1740" spans="12:12" x14ac:dyDescent="0.5">
      <c r="L1740" s="30"/>
    </row>
    <row r="1741" spans="12:12" x14ac:dyDescent="0.5">
      <c r="L1741" s="30"/>
    </row>
    <row r="1742" spans="12:12" x14ac:dyDescent="0.5">
      <c r="L1742" s="30"/>
    </row>
    <row r="1743" spans="12:12" x14ac:dyDescent="0.5">
      <c r="L1743" s="30"/>
    </row>
    <row r="1744" spans="12:12" x14ac:dyDescent="0.5">
      <c r="L1744" s="30"/>
    </row>
    <row r="1745" spans="12:12" x14ac:dyDescent="0.5">
      <c r="L1745" s="30"/>
    </row>
    <row r="1746" spans="12:12" x14ac:dyDescent="0.5">
      <c r="L1746" s="30"/>
    </row>
    <row r="1747" spans="12:12" x14ac:dyDescent="0.5">
      <c r="L1747" s="30"/>
    </row>
    <row r="1748" spans="12:12" x14ac:dyDescent="0.5">
      <c r="L1748" s="30"/>
    </row>
    <row r="1749" spans="12:12" x14ac:dyDescent="0.5">
      <c r="L1749" s="30"/>
    </row>
    <row r="1750" spans="12:12" x14ac:dyDescent="0.5">
      <c r="L1750" s="30"/>
    </row>
    <row r="1751" spans="12:12" x14ac:dyDescent="0.5">
      <c r="L1751" s="30"/>
    </row>
    <row r="1752" spans="12:12" x14ac:dyDescent="0.5">
      <c r="L1752" s="30"/>
    </row>
    <row r="1753" spans="12:12" x14ac:dyDescent="0.5">
      <c r="L1753" s="30"/>
    </row>
    <row r="1754" spans="12:12" x14ac:dyDescent="0.5">
      <c r="L1754" s="30"/>
    </row>
    <row r="1755" spans="12:12" x14ac:dyDescent="0.5">
      <c r="L1755" s="30"/>
    </row>
    <row r="1756" spans="12:12" x14ac:dyDescent="0.5">
      <c r="L1756" s="30"/>
    </row>
    <row r="1757" spans="12:12" x14ac:dyDescent="0.5">
      <c r="L1757" s="30"/>
    </row>
    <row r="1758" spans="12:12" x14ac:dyDescent="0.5">
      <c r="L1758" s="30"/>
    </row>
    <row r="1759" spans="12:12" x14ac:dyDescent="0.5">
      <c r="L1759" s="30"/>
    </row>
    <row r="1760" spans="12:12" x14ac:dyDescent="0.5">
      <c r="L1760" s="30"/>
    </row>
    <row r="1761" spans="12:12" x14ac:dyDescent="0.5">
      <c r="L1761" s="30"/>
    </row>
    <row r="1762" spans="12:12" x14ac:dyDescent="0.5">
      <c r="L1762" s="30"/>
    </row>
    <row r="1763" spans="12:12" x14ac:dyDescent="0.5">
      <c r="L1763" s="30"/>
    </row>
    <row r="1764" spans="12:12" x14ac:dyDescent="0.5">
      <c r="L1764" s="30"/>
    </row>
    <row r="1765" spans="12:12" x14ac:dyDescent="0.5">
      <c r="L1765" s="30"/>
    </row>
    <row r="1766" spans="12:12" x14ac:dyDescent="0.5">
      <c r="L1766" s="30"/>
    </row>
    <row r="1767" spans="12:12" x14ac:dyDescent="0.5">
      <c r="L1767" s="30"/>
    </row>
    <row r="1768" spans="12:12" x14ac:dyDescent="0.5">
      <c r="L1768" s="30"/>
    </row>
    <row r="1769" spans="12:12" x14ac:dyDescent="0.5">
      <c r="L1769" s="30"/>
    </row>
    <row r="1770" spans="12:12" x14ac:dyDescent="0.5">
      <c r="L1770" s="30"/>
    </row>
    <row r="1771" spans="12:12" x14ac:dyDescent="0.5">
      <c r="L1771" s="30"/>
    </row>
    <row r="1772" spans="12:12" x14ac:dyDescent="0.5">
      <c r="L1772" s="30"/>
    </row>
    <row r="1773" spans="12:12" x14ac:dyDescent="0.5">
      <c r="L1773" s="30"/>
    </row>
    <row r="1774" spans="12:12" x14ac:dyDescent="0.5">
      <c r="L1774" s="30"/>
    </row>
    <row r="1775" spans="12:12" x14ac:dyDescent="0.5">
      <c r="L1775" s="30"/>
    </row>
    <row r="1776" spans="12:12" x14ac:dyDescent="0.5">
      <c r="L1776" s="30"/>
    </row>
    <row r="1777" spans="12:12" x14ac:dyDescent="0.5">
      <c r="L1777" s="30"/>
    </row>
    <row r="1778" spans="12:12" x14ac:dyDescent="0.5">
      <c r="L1778" s="30"/>
    </row>
    <row r="1779" spans="12:12" x14ac:dyDescent="0.5">
      <c r="L1779" s="30"/>
    </row>
    <row r="1780" spans="12:12" x14ac:dyDescent="0.5">
      <c r="L1780" s="30"/>
    </row>
    <row r="1781" spans="12:12" x14ac:dyDescent="0.5">
      <c r="L1781" s="30"/>
    </row>
    <row r="1782" spans="12:12" x14ac:dyDescent="0.5">
      <c r="L1782" s="30"/>
    </row>
    <row r="1783" spans="12:12" x14ac:dyDescent="0.5">
      <c r="L1783" s="30"/>
    </row>
    <row r="1784" spans="12:12" x14ac:dyDescent="0.5">
      <c r="L1784" s="30"/>
    </row>
    <row r="1785" spans="12:12" x14ac:dyDescent="0.5">
      <c r="L1785" s="30"/>
    </row>
    <row r="1786" spans="12:12" x14ac:dyDescent="0.5">
      <c r="L1786" s="30"/>
    </row>
    <row r="1787" spans="12:12" x14ac:dyDescent="0.5">
      <c r="L1787" s="30"/>
    </row>
    <row r="1788" spans="12:12" x14ac:dyDescent="0.5">
      <c r="L1788" s="30"/>
    </row>
    <row r="1789" spans="12:12" x14ac:dyDescent="0.5">
      <c r="L1789" s="30"/>
    </row>
    <row r="1790" spans="12:12" x14ac:dyDescent="0.5">
      <c r="L1790" s="30"/>
    </row>
    <row r="1791" spans="12:12" x14ac:dyDescent="0.5">
      <c r="L1791" s="30"/>
    </row>
    <row r="1792" spans="12:12" x14ac:dyDescent="0.5">
      <c r="L1792" s="30"/>
    </row>
    <row r="1793" spans="12:12" x14ac:dyDescent="0.5">
      <c r="L1793" s="30"/>
    </row>
    <row r="1794" spans="12:12" x14ac:dyDescent="0.5">
      <c r="L1794" s="30"/>
    </row>
    <row r="1795" spans="12:12" x14ac:dyDescent="0.5">
      <c r="L1795" s="30"/>
    </row>
    <row r="1796" spans="12:12" x14ac:dyDescent="0.5">
      <c r="L1796" s="30"/>
    </row>
    <row r="1797" spans="12:12" x14ac:dyDescent="0.5">
      <c r="L1797" s="30"/>
    </row>
    <row r="1798" spans="12:12" x14ac:dyDescent="0.5">
      <c r="L1798" s="30"/>
    </row>
    <row r="1799" spans="12:12" x14ac:dyDescent="0.5">
      <c r="L1799" s="30"/>
    </row>
    <row r="1800" spans="12:12" x14ac:dyDescent="0.5">
      <c r="L1800" s="30"/>
    </row>
    <row r="1801" spans="12:12" x14ac:dyDescent="0.5">
      <c r="L1801" s="30"/>
    </row>
    <row r="1802" spans="12:12" x14ac:dyDescent="0.5">
      <c r="L1802" s="30"/>
    </row>
    <row r="1803" spans="12:12" x14ac:dyDescent="0.5">
      <c r="L1803" s="30"/>
    </row>
    <row r="1804" spans="12:12" x14ac:dyDescent="0.5">
      <c r="L1804" s="30"/>
    </row>
    <row r="1805" spans="12:12" x14ac:dyDescent="0.5">
      <c r="L1805" s="30"/>
    </row>
    <row r="1806" spans="12:12" x14ac:dyDescent="0.5">
      <c r="L1806" s="30"/>
    </row>
    <row r="1807" spans="12:12" x14ac:dyDescent="0.5">
      <c r="L1807" s="30"/>
    </row>
    <row r="1808" spans="12:12" x14ac:dyDescent="0.5">
      <c r="L1808" s="30"/>
    </row>
    <row r="1809" spans="12:12" x14ac:dyDescent="0.5">
      <c r="L1809" s="30"/>
    </row>
    <row r="1810" spans="12:12" x14ac:dyDescent="0.5">
      <c r="L1810" s="30"/>
    </row>
    <row r="1811" spans="12:12" x14ac:dyDescent="0.5">
      <c r="L1811" s="30"/>
    </row>
    <row r="1812" spans="12:12" x14ac:dyDescent="0.5">
      <c r="L1812" s="30"/>
    </row>
    <row r="1813" spans="12:12" x14ac:dyDescent="0.5">
      <c r="L1813" s="30"/>
    </row>
    <row r="1814" spans="12:12" x14ac:dyDescent="0.5">
      <c r="L1814" s="30"/>
    </row>
    <row r="1815" spans="12:12" x14ac:dyDescent="0.5">
      <c r="L1815" s="30"/>
    </row>
    <row r="1816" spans="12:12" x14ac:dyDescent="0.5">
      <c r="L1816" s="30"/>
    </row>
    <row r="1817" spans="12:12" x14ac:dyDescent="0.5">
      <c r="L1817" s="30"/>
    </row>
    <row r="1818" spans="12:12" x14ac:dyDescent="0.5">
      <c r="L1818" s="30"/>
    </row>
    <row r="1819" spans="12:12" x14ac:dyDescent="0.5">
      <c r="L1819" s="30"/>
    </row>
    <row r="1820" spans="12:12" x14ac:dyDescent="0.5">
      <c r="L1820" s="30"/>
    </row>
    <row r="1821" spans="12:12" x14ac:dyDescent="0.5">
      <c r="L1821" s="30"/>
    </row>
    <row r="1822" spans="12:12" x14ac:dyDescent="0.5">
      <c r="L1822" s="30"/>
    </row>
    <row r="1823" spans="12:12" x14ac:dyDescent="0.5">
      <c r="L1823" s="30"/>
    </row>
    <row r="1824" spans="12:12" x14ac:dyDescent="0.5">
      <c r="L1824" s="30"/>
    </row>
    <row r="1825" spans="12:12" x14ac:dyDescent="0.5">
      <c r="L1825" s="30"/>
    </row>
    <row r="1826" spans="12:12" x14ac:dyDescent="0.5">
      <c r="L1826" s="30"/>
    </row>
    <row r="1827" spans="12:12" x14ac:dyDescent="0.5">
      <c r="L1827" s="30"/>
    </row>
    <row r="1828" spans="12:12" x14ac:dyDescent="0.5">
      <c r="L1828" s="30"/>
    </row>
    <row r="1829" spans="12:12" x14ac:dyDescent="0.5">
      <c r="L1829" s="30"/>
    </row>
    <row r="1830" spans="12:12" x14ac:dyDescent="0.5">
      <c r="L1830" s="30"/>
    </row>
    <row r="1831" spans="12:12" x14ac:dyDescent="0.5">
      <c r="L1831" s="30"/>
    </row>
    <row r="1832" spans="12:12" x14ac:dyDescent="0.5">
      <c r="L1832" s="30"/>
    </row>
    <row r="1833" spans="12:12" x14ac:dyDescent="0.5">
      <c r="L1833" s="30"/>
    </row>
    <row r="1834" spans="12:12" x14ac:dyDescent="0.5">
      <c r="L1834" s="30"/>
    </row>
    <row r="1835" spans="12:12" x14ac:dyDescent="0.5">
      <c r="L1835" s="30"/>
    </row>
    <row r="1836" spans="12:12" x14ac:dyDescent="0.5">
      <c r="L1836" s="30"/>
    </row>
    <row r="1837" spans="12:12" x14ac:dyDescent="0.5">
      <c r="L1837" s="30"/>
    </row>
    <row r="1838" spans="12:12" x14ac:dyDescent="0.5">
      <c r="L1838" s="30"/>
    </row>
    <row r="1839" spans="12:12" x14ac:dyDescent="0.5">
      <c r="L1839" s="30"/>
    </row>
    <row r="1840" spans="12:12" x14ac:dyDescent="0.5">
      <c r="L1840" s="30"/>
    </row>
    <row r="1841" spans="12:12" x14ac:dyDescent="0.5">
      <c r="L1841" s="30"/>
    </row>
    <row r="1842" spans="12:12" x14ac:dyDescent="0.5">
      <c r="L1842" s="30"/>
    </row>
    <row r="1843" spans="12:12" x14ac:dyDescent="0.5">
      <c r="L1843" s="30"/>
    </row>
    <row r="1844" spans="12:12" x14ac:dyDescent="0.5">
      <c r="L1844" s="30"/>
    </row>
    <row r="1845" spans="12:12" x14ac:dyDescent="0.5">
      <c r="L1845" s="30"/>
    </row>
    <row r="1846" spans="12:12" x14ac:dyDescent="0.5">
      <c r="L1846" s="30"/>
    </row>
    <row r="1847" spans="12:12" x14ac:dyDescent="0.5">
      <c r="L1847" s="30"/>
    </row>
    <row r="1848" spans="12:12" x14ac:dyDescent="0.5">
      <c r="L1848" s="30"/>
    </row>
    <row r="1849" spans="12:12" x14ac:dyDescent="0.5">
      <c r="L1849" s="30"/>
    </row>
    <row r="1850" spans="12:12" x14ac:dyDescent="0.5">
      <c r="L1850" s="30"/>
    </row>
    <row r="1851" spans="12:12" x14ac:dyDescent="0.5">
      <c r="L1851" s="30"/>
    </row>
    <row r="1852" spans="12:12" x14ac:dyDescent="0.5">
      <c r="L1852" s="30"/>
    </row>
    <row r="1853" spans="12:12" x14ac:dyDescent="0.5">
      <c r="L1853" s="30"/>
    </row>
    <row r="1854" spans="12:12" x14ac:dyDescent="0.5">
      <c r="L1854" s="30"/>
    </row>
    <row r="1855" spans="12:12" x14ac:dyDescent="0.5">
      <c r="L1855" s="30"/>
    </row>
    <row r="1856" spans="12:12" x14ac:dyDescent="0.5">
      <c r="L1856" s="30"/>
    </row>
    <row r="1857" spans="12:12" x14ac:dyDescent="0.5">
      <c r="L1857" s="30"/>
    </row>
    <row r="1858" spans="12:12" x14ac:dyDescent="0.5">
      <c r="L1858" s="30"/>
    </row>
    <row r="1859" spans="12:12" x14ac:dyDescent="0.5">
      <c r="L1859" s="30"/>
    </row>
    <row r="1860" spans="12:12" x14ac:dyDescent="0.5">
      <c r="L1860" s="30"/>
    </row>
    <row r="1861" spans="12:12" x14ac:dyDescent="0.5">
      <c r="L1861" s="30"/>
    </row>
    <row r="1862" spans="12:12" x14ac:dyDescent="0.5">
      <c r="L1862" s="30"/>
    </row>
    <row r="1863" spans="12:12" x14ac:dyDescent="0.5">
      <c r="L1863" s="30"/>
    </row>
    <row r="1864" spans="12:12" x14ac:dyDescent="0.5">
      <c r="L1864" s="30"/>
    </row>
    <row r="1865" spans="12:12" x14ac:dyDescent="0.5">
      <c r="L1865" s="30"/>
    </row>
    <row r="1866" spans="12:12" x14ac:dyDescent="0.5">
      <c r="L1866" s="30"/>
    </row>
    <row r="1867" spans="12:12" x14ac:dyDescent="0.5">
      <c r="L1867" s="30"/>
    </row>
    <row r="1868" spans="12:12" x14ac:dyDescent="0.5">
      <c r="L1868" s="30"/>
    </row>
    <row r="1869" spans="12:12" x14ac:dyDescent="0.5">
      <c r="L1869" s="30"/>
    </row>
    <row r="1870" spans="12:12" x14ac:dyDescent="0.5">
      <c r="L1870" s="30"/>
    </row>
    <row r="1871" spans="12:12" x14ac:dyDescent="0.5">
      <c r="L1871" s="30"/>
    </row>
    <row r="1872" spans="12:12" x14ac:dyDescent="0.5">
      <c r="L1872" s="30"/>
    </row>
    <row r="1873" spans="12:12" x14ac:dyDescent="0.5">
      <c r="L1873" s="30"/>
    </row>
    <row r="1874" spans="12:12" x14ac:dyDescent="0.5">
      <c r="L1874" s="30"/>
    </row>
    <row r="1875" spans="12:12" x14ac:dyDescent="0.5">
      <c r="L1875" s="30"/>
    </row>
    <row r="1876" spans="12:12" x14ac:dyDescent="0.5">
      <c r="L1876" s="30"/>
    </row>
    <row r="1877" spans="12:12" x14ac:dyDescent="0.5">
      <c r="L1877" s="30"/>
    </row>
    <row r="1878" spans="12:12" x14ac:dyDescent="0.5">
      <c r="L1878" s="30"/>
    </row>
    <row r="1879" spans="12:12" x14ac:dyDescent="0.5">
      <c r="L1879" s="30"/>
    </row>
    <row r="1880" spans="12:12" x14ac:dyDescent="0.5">
      <c r="L1880" s="30"/>
    </row>
    <row r="1881" spans="12:12" x14ac:dyDescent="0.5">
      <c r="L1881" s="30"/>
    </row>
    <row r="1882" spans="12:12" x14ac:dyDescent="0.5">
      <c r="L1882" s="30"/>
    </row>
    <row r="1883" spans="12:12" x14ac:dyDescent="0.5">
      <c r="L1883" s="30"/>
    </row>
    <row r="1884" spans="12:12" x14ac:dyDescent="0.5">
      <c r="L1884" s="30"/>
    </row>
    <row r="1885" spans="12:12" x14ac:dyDescent="0.5">
      <c r="L1885" s="30"/>
    </row>
    <row r="1886" spans="12:12" x14ac:dyDescent="0.5">
      <c r="L1886" s="30"/>
    </row>
    <row r="1887" spans="12:12" x14ac:dyDescent="0.5">
      <c r="L1887" s="30"/>
    </row>
    <row r="1888" spans="12:12" x14ac:dyDescent="0.5">
      <c r="L1888" s="30"/>
    </row>
    <row r="1889" spans="12:12" x14ac:dyDescent="0.5">
      <c r="L1889" s="30"/>
    </row>
    <row r="1890" spans="12:12" x14ac:dyDescent="0.5">
      <c r="L1890" s="30"/>
    </row>
    <row r="1891" spans="12:12" x14ac:dyDescent="0.5">
      <c r="L1891" s="30"/>
    </row>
    <row r="1892" spans="12:12" x14ac:dyDescent="0.5">
      <c r="L1892" s="30"/>
    </row>
    <row r="1893" spans="12:12" x14ac:dyDescent="0.5">
      <c r="L1893" s="30"/>
    </row>
    <row r="1894" spans="12:12" x14ac:dyDescent="0.5">
      <c r="L1894" s="30"/>
    </row>
    <row r="1895" spans="12:12" x14ac:dyDescent="0.5">
      <c r="L1895" s="30"/>
    </row>
    <row r="1896" spans="12:12" x14ac:dyDescent="0.5">
      <c r="L1896" s="30"/>
    </row>
    <row r="1897" spans="12:12" x14ac:dyDescent="0.5">
      <c r="L1897" s="30"/>
    </row>
    <row r="1898" spans="12:12" x14ac:dyDescent="0.5">
      <c r="L1898" s="30"/>
    </row>
    <row r="1899" spans="12:12" x14ac:dyDescent="0.5">
      <c r="L1899" s="30"/>
    </row>
    <row r="1900" spans="12:12" x14ac:dyDescent="0.5">
      <c r="L1900" s="30"/>
    </row>
    <row r="1901" spans="12:12" x14ac:dyDescent="0.5">
      <c r="L1901" s="30"/>
    </row>
    <row r="1902" spans="12:12" x14ac:dyDescent="0.5">
      <c r="L1902" s="30"/>
    </row>
    <row r="1903" spans="12:12" x14ac:dyDescent="0.5">
      <c r="L1903" s="30"/>
    </row>
    <row r="1904" spans="12:12" x14ac:dyDescent="0.5">
      <c r="L1904" s="30"/>
    </row>
    <row r="1905" spans="12:12" x14ac:dyDescent="0.5">
      <c r="L1905" s="30"/>
    </row>
    <row r="1906" spans="12:12" x14ac:dyDescent="0.5">
      <c r="L1906" s="30"/>
    </row>
    <row r="1907" spans="12:12" x14ac:dyDescent="0.5">
      <c r="L1907" s="30"/>
    </row>
    <row r="1908" spans="12:12" x14ac:dyDescent="0.5">
      <c r="L1908" s="30"/>
    </row>
    <row r="1909" spans="12:12" x14ac:dyDescent="0.5">
      <c r="L1909" s="30"/>
    </row>
    <row r="1910" spans="12:12" x14ac:dyDescent="0.5">
      <c r="L1910" s="30"/>
    </row>
    <row r="1911" spans="12:12" x14ac:dyDescent="0.5">
      <c r="L1911" s="30"/>
    </row>
    <row r="1912" spans="12:12" x14ac:dyDescent="0.5">
      <c r="L1912" s="30"/>
    </row>
    <row r="1913" spans="12:12" x14ac:dyDescent="0.5">
      <c r="L1913" s="30"/>
    </row>
    <row r="1914" spans="12:12" x14ac:dyDescent="0.5">
      <c r="L1914" s="30"/>
    </row>
    <row r="1915" spans="12:12" x14ac:dyDescent="0.5">
      <c r="L1915" s="30"/>
    </row>
    <row r="1916" spans="12:12" x14ac:dyDescent="0.5">
      <c r="L1916" s="30"/>
    </row>
    <row r="1917" spans="12:12" x14ac:dyDescent="0.5">
      <c r="L1917" s="30"/>
    </row>
    <row r="1918" spans="12:12" x14ac:dyDescent="0.5">
      <c r="L1918" s="30"/>
    </row>
    <row r="1919" spans="12:12" x14ac:dyDescent="0.5">
      <c r="L1919" s="30"/>
    </row>
    <row r="1920" spans="12:12" x14ac:dyDescent="0.5">
      <c r="L1920" s="30"/>
    </row>
    <row r="1921" spans="12:12" x14ac:dyDescent="0.5">
      <c r="L1921" s="30"/>
    </row>
    <row r="1922" spans="12:12" x14ac:dyDescent="0.5">
      <c r="L1922" s="30"/>
    </row>
    <row r="1923" spans="12:12" x14ac:dyDescent="0.5">
      <c r="L1923" s="30"/>
    </row>
    <row r="1924" spans="12:12" x14ac:dyDescent="0.5">
      <c r="L1924" s="30"/>
    </row>
    <row r="1925" spans="12:12" x14ac:dyDescent="0.5">
      <c r="L1925" s="30"/>
    </row>
    <row r="1926" spans="12:12" x14ac:dyDescent="0.5">
      <c r="L1926" s="30"/>
    </row>
    <row r="1927" spans="12:12" x14ac:dyDescent="0.5">
      <c r="L1927" s="30"/>
    </row>
    <row r="1928" spans="12:12" x14ac:dyDescent="0.5">
      <c r="L1928" s="30"/>
    </row>
    <row r="1929" spans="12:12" x14ac:dyDescent="0.5">
      <c r="L1929" s="30"/>
    </row>
    <row r="1930" spans="12:12" x14ac:dyDescent="0.5">
      <c r="L1930" s="30"/>
    </row>
    <row r="1931" spans="12:12" x14ac:dyDescent="0.5">
      <c r="L1931" s="30"/>
    </row>
    <row r="1932" spans="12:12" x14ac:dyDescent="0.5">
      <c r="L1932" s="30"/>
    </row>
    <row r="1933" spans="12:12" x14ac:dyDescent="0.5">
      <c r="L1933" s="30"/>
    </row>
    <row r="1934" spans="12:12" x14ac:dyDescent="0.5">
      <c r="L1934" s="30"/>
    </row>
    <row r="1935" spans="12:12" x14ac:dyDescent="0.5">
      <c r="L1935" s="30"/>
    </row>
    <row r="1936" spans="12:12" x14ac:dyDescent="0.5">
      <c r="L1936" s="30"/>
    </row>
    <row r="1937" spans="12:12" x14ac:dyDescent="0.5">
      <c r="L1937" s="30"/>
    </row>
    <row r="1938" spans="12:12" x14ac:dyDescent="0.5">
      <c r="L1938" s="30"/>
    </row>
    <row r="1939" spans="12:12" x14ac:dyDescent="0.5">
      <c r="L1939" s="30"/>
    </row>
    <row r="1940" spans="12:12" x14ac:dyDescent="0.5">
      <c r="L1940" s="30"/>
    </row>
    <row r="1941" spans="12:12" x14ac:dyDescent="0.5">
      <c r="L1941" s="30"/>
    </row>
    <row r="1942" spans="12:12" x14ac:dyDescent="0.5">
      <c r="L1942" s="30"/>
    </row>
    <row r="1943" spans="12:12" x14ac:dyDescent="0.5">
      <c r="L1943" s="30"/>
    </row>
    <row r="1944" spans="12:12" x14ac:dyDescent="0.5">
      <c r="L1944" s="30"/>
    </row>
    <row r="1945" spans="12:12" x14ac:dyDescent="0.5">
      <c r="L1945" s="30"/>
    </row>
    <row r="1946" spans="12:12" x14ac:dyDescent="0.5">
      <c r="L1946" s="30"/>
    </row>
    <row r="1947" spans="12:12" x14ac:dyDescent="0.5">
      <c r="L1947" s="30"/>
    </row>
    <row r="1948" spans="12:12" x14ac:dyDescent="0.5">
      <c r="L1948" s="30"/>
    </row>
    <row r="1949" spans="12:12" x14ac:dyDescent="0.5">
      <c r="L1949" s="30"/>
    </row>
    <row r="1950" spans="12:12" x14ac:dyDescent="0.5">
      <c r="L1950" s="30"/>
    </row>
    <row r="1951" spans="12:12" x14ac:dyDescent="0.5">
      <c r="L1951" s="30"/>
    </row>
    <row r="1952" spans="12:12" x14ac:dyDescent="0.5">
      <c r="L1952" s="30"/>
    </row>
    <row r="1953" spans="12:12" x14ac:dyDescent="0.5">
      <c r="L1953" s="30"/>
    </row>
    <row r="1954" spans="12:12" x14ac:dyDescent="0.5">
      <c r="L1954" s="30"/>
    </row>
    <row r="1955" spans="12:12" x14ac:dyDescent="0.5">
      <c r="L1955" s="30"/>
    </row>
    <row r="1956" spans="12:12" x14ac:dyDescent="0.5">
      <c r="L1956" s="30"/>
    </row>
    <row r="1957" spans="12:12" x14ac:dyDescent="0.5">
      <c r="L1957" s="30"/>
    </row>
    <row r="1958" spans="12:12" x14ac:dyDescent="0.5">
      <c r="L1958" s="30"/>
    </row>
    <row r="1959" spans="12:12" x14ac:dyDescent="0.5">
      <c r="L1959" s="30"/>
    </row>
    <row r="1960" spans="12:12" x14ac:dyDescent="0.5">
      <c r="L1960" s="30"/>
    </row>
    <row r="1961" spans="12:12" x14ac:dyDescent="0.5">
      <c r="L1961" s="30"/>
    </row>
    <row r="1962" spans="12:12" x14ac:dyDescent="0.5">
      <c r="L1962" s="30"/>
    </row>
    <row r="1963" spans="12:12" x14ac:dyDescent="0.5">
      <c r="L1963" s="30"/>
    </row>
    <row r="1964" spans="12:12" x14ac:dyDescent="0.5">
      <c r="L1964" s="30"/>
    </row>
    <row r="1965" spans="12:12" x14ac:dyDescent="0.5">
      <c r="L1965" s="30"/>
    </row>
    <row r="1966" spans="12:12" x14ac:dyDescent="0.5">
      <c r="L1966" s="30"/>
    </row>
    <row r="1967" spans="12:12" x14ac:dyDescent="0.5">
      <c r="L1967" s="30"/>
    </row>
    <row r="1968" spans="12:12" x14ac:dyDescent="0.5">
      <c r="L1968" s="30"/>
    </row>
    <row r="1969" spans="12:12" x14ac:dyDescent="0.5">
      <c r="L1969" s="30"/>
    </row>
    <row r="1970" spans="12:12" x14ac:dyDescent="0.5">
      <c r="L1970" s="30"/>
    </row>
    <row r="1971" spans="12:12" x14ac:dyDescent="0.5">
      <c r="L1971" s="30"/>
    </row>
    <row r="1972" spans="12:12" x14ac:dyDescent="0.5">
      <c r="L1972" s="30"/>
    </row>
    <row r="1973" spans="12:12" x14ac:dyDescent="0.5">
      <c r="L1973" s="30"/>
    </row>
    <row r="1974" spans="12:12" x14ac:dyDescent="0.5">
      <c r="L1974" s="30"/>
    </row>
    <row r="1975" spans="12:12" x14ac:dyDescent="0.5">
      <c r="L1975" s="30"/>
    </row>
    <row r="1976" spans="12:12" x14ac:dyDescent="0.5">
      <c r="L1976" s="30"/>
    </row>
    <row r="1977" spans="12:12" x14ac:dyDescent="0.5">
      <c r="L1977" s="30"/>
    </row>
    <row r="1978" spans="12:12" x14ac:dyDescent="0.5">
      <c r="L1978" s="30"/>
    </row>
    <row r="1979" spans="12:12" x14ac:dyDescent="0.5">
      <c r="L1979" s="30"/>
    </row>
    <row r="1980" spans="12:12" x14ac:dyDescent="0.5">
      <c r="L1980" s="30"/>
    </row>
    <row r="1981" spans="12:12" x14ac:dyDescent="0.5">
      <c r="L1981" s="30"/>
    </row>
    <row r="1982" spans="12:12" x14ac:dyDescent="0.5">
      <c r="L1982" s="30"/>
    </row>
    <row r="1983" spans="12:12" x14ac:dyDescent="0.5">
      <c r="L1983" s="30"/>
    </row>
    <row r="1984" spans="12:12" x14ac:dyDescent="0.5">
      <c r="L1984" s="30"/>
    </row>
    <row r="1985" spans="12:12" x14ac:dyDescent="0.5">
      <c r="L1985" s="30"/>
    </row>
    <row r="1986" spans="12:12" x14ac:dyDescent="0.5">
      <c r="L1986" s="30"/>
    </row>
    <row r="1987" spans="12:12" x14ac:dyDescent="0.5">
      <c r="L1987" s="30"/>
    </row>
    <row r="1988" spans="12:12" x14ac:dyDescent="0.5">
      <c r="L1988" s="30"/>
    </row>
    <row r="1989" spans="12:12" x14ac:dyDescent="0.5">
      <c r="L1989" s="30"/>
    </row>
    <row r="1990" spans="12:12" x14ac:dyDescent="0.5">
      <c r="L1990" s="30"/>
    </row>
    <row r="1991" spans="12:12" x14ac:dyDescent="0.5">
      <c r="L1991" s="30"/>
    </row>
    <row r="1992" spans="12:12" x14ac:dyDescent="0.5">
      <c r="L1992" s="30"/>
    </row>
    <row r="1993" spans="12:12" x14ac:dyDescent="0.5">
      <c r="L1993" s="30"/>
    </row>
    <row r="1994" spans="12:12" x14ac:dyDescent="0.5">
      <c r="L1994" s="30"/>
    </row>
    <row r="1995" spans="12:12" x14ac:dyDescent="0.5">
      <c r="L1995" s="30"/>
    </row>
    <row r="1996" spans="12:12" x14ac:dyDescent="0.5">
      <c r="L1996" s="30"/>
    </row>
    <row r="1997" spans="12:12" x14ac:dyDescent="0.5">
      <c r="L1997" s="30"/>
    </row>
    <row r="1998" spans="12:12" x14ac:dyDescent="0.5">
      <c r="L1998" s="30"/>
    </row>
    <row r="1999" spans="12:12" x14ac:dyDescent="0.5">
      <c r="L1999" s="30"/>
    </row>
    <row r="2000" spans="12:12" x14ac:dyDescent="0.5">
      <c r="L2000" s="30"/>
    </row>
    <row r="2001" spans="12:12" x14ac:dyDescent="0.5">
      <c r="L2001" s="30"/>
    </row>
    <row r="2002" spans="12:12" x14ac:dyDescent="0.5">
      <c r="L2002" s="30"/>
    </row>
    <row r="2003" spans="12:12" x14ac:dyDescent="0.5">
      <c r="L2003" s="30"/>
    </row>
    <row r="2004" spans="12:12" x14ac:dyDescent="0.5">
      <c r="L2004" s="30"/>
    </row>
    <row r="2005" spans="12:12" x14ac:dyDescent="0.5">
      <c r="L2005" s="30"/>
    </row>
    <row r="2006" spans="12:12" x14ac:dyDescent="0.5">
      <c r="L2006" s="30"/>
    </row>
    <row r="2007" spans="12:12" x14ac:dyDescent="0.5">
      <c r="L2007" s="30"/>
    </row>
    <row r="2008" spans="12:12" x14ac:dyDescent="0.5">
      <c r="L2008" s="30"/>
    </row>
    <row r="2009" spans="12:12" x14ac:dyDescent="0.5">
      <c r="L2009" s="30"/>
    </row>
    <row r="2010" spans="12:12" x14ac:dyDescent="0.5">
      <c r="L2010" s="30"/>
    </row>
    <row r="2011" spans="12:12" x14ac:dyDescent="0.5">
      <c r="L2011" s="30"/>
    </row>
    <row r="2012" spans="12:12" x14ac:dyDescent="0.5">
      <c r="L2012" s="30"/>
    </row>
    <row r="2013" spans="12:12" x14ac:dyDescent="0.5">
      <c r="L2013" s="30"/>
    </row>
    <row r="2014" spans="12:12" x14ac:dyDescent="0.5">
      <c r="L2014" s="30"/>
    </row>
    <row r="2015" spans="12:12" x14ac:dyDescent="0.5">
      <c r="L2015" s="30"/>
    </row>
    <row r="2016" spans="12:12" x14ac:dyDescent="0.5">
      <c r="L2016" s="30"/>
    </row>
    <row r="2017" spans="12:12" x14ac:dyDescent="0.5">
      <c r="L2017" s="30"/>
    </row>
    <row r="2018" spans="12:12" x14ac:dyDescent="0.5">
      <c r="L2018" s="30"/>
    </row>
    <row r="2019" spans="12:12" x14ac:dyDescent="0.5">
      <c r="L2019" s="30"/>
    </row>
    <row r="2020" spans="12:12" x14ac:dyDescent="0.5">
      <c r="L2020" s="30"/>
    </row>
    <row r="2021" spans="12:12" x14ac:dyDescent="0.5">
      <c r="L2021" s="30"/>
    </row>
    <row r="2022" spans="12:12" x14ac:dyDescent="0.5">
      <c r="L2022" s="30"/>
    </row>
    <row r="2023" spans="12:12" x14ac:dyDescent="0.5">
      <c r="L2023" s="30"/>
    </row>
    <row r="2024" spans="12:12" x14ac:dyDescent="0.5">
      <c r="L2024" s="30"/>
    </row>
    <row r="2025" spans="12:12" x14ac:dyDescent="0.5">
      <c r="L2025" s="30"/>
    </row>
    <row r="2026" spans="12:12" x14ac:dyDescent="0.5">
      <c r="L2026" s="30"/>
    </row>
    <row r="2027" spans="12:12" x14ac:dyDescent="0.5">
      <c r="L2027" s="30"/>
    </row>
    <row r="2028" spans="12:12" x14ac:dyDescent="0.5">
      <c r="L2028" s="30"/>
    </row>
    <row r="2029" spans="12:12" x14ac:dyDescent="0.5">
      <c r="L2029" s="30"/>
    </row>
    <row r="2030" spans="12:12" x14ac:dyDescent="0.5">
      <c r="L2030" s="30"/>
    </row>
    <row r="2031" spans="12:12" x14ac:dyDescent="0.5">
      <c r="L2031" s="30"/>
    </row>
    <row r="2032" spans="12:12" x14ac:dyDescent="0.5">
      <c r="L2032" s="30"/>
    </row>
    <row r="2033" spans="12:12" x14ac:dyDescent="0.5">
      <c r="L2033" s="30"/>
    </row>
    <row r="2034" spans="12:12" x14ac:dyDescent="0.5">
      <c r="L2034" s="30"/>
    </row>
    <row r="2035" spans="12:12" x14ac:dyDescent="0.5">
      <c r="L2035" s="30"/>
    </row>
    <row r="2036" spans="12:12" x14ac:dyDescent="0.5">
      <c r="L2036" s="30"/>
    </row>
    <row r="2037" spans="12:12" x14ac:dyDescent="0.5">
      <c r="L2037" s="30"/>
    </row>
    <row r="2038" spans="12:12" x14ac:dyDescent="0.5">
      <c r="L2038" s="30"/>
    </row>
    <row r="2039" spans="12:12" x14ac:dyDescent="0.5">
      <c r="L2039" s="30"/>
    </row>
    <row r="2040" spans="12:12" x14ac:dyDescent="0.5">
      <c r="L2040" s="30"/>
    </row>
    <row r="2041" spans="12:12" x14ac:dyDescent="0.5">
      <c r="L2041" s="30"/>
    </row>
    <row r="2042" spans="12:12" x14ac:dyDescent="0.5">
      <c r="L2042" s="30"/>
    </row>
    <row r="2043" spans="12:12" x14ac:dyDescent="0.5">
      <c r="L2043" s="30"/>
    </row>
    <row r="2044" spans="12:12" x14ac:dyDescent="0.5">
      <c r="L2044" s="30"/>
    </row>
    <row r="2045" spans="12:12" x14ac:dyDescent="0.5">
      <c r="L2045" s="30"/>
    </row>
    <row r="2046" spans="12:12" x14ac:dyDescent="0.5">
      <c r="L2046" s="30"/>
    </row>
    <row r="2047" spans="12:12" x14ac:dyDescent="0.5">
      <c r="L2047" s="30"/>
    </row>
    <row r="2048" spans="12:12" x14ac:dyDescent="0.5">
      <c r="L2048" s="30"/>
    </row>
    <row r="2049" spans="12:12" x14ac:dyDescent="0.5">
      <c r="L2049" s="30"/>
    </row>
    <row r="2050" spans="12:12" x14ac:dyDescent="0.5">
      <c r="L2050" s="30"/>
    </row>
    <row r="2051" spans="12:12" x14ac:dyDescent="0.5">
      <c r="L2051" s="30"/>
    </row>
    <row r="2052" spans="12:12" x14ac:dyDescent="0.5">
      <c r="L2052" s="30"/>
    </row>
    <row r="2053" spans="12:12" x14ac:dyDescent="0.5">
      <c r="L2053" s="30"/>
    </row>
    <row r="2054" spans="12:12" x14ac:dyDescent="0.5">
      <c r="L2054" s="30"/>
    </row>
    <row r="2055" spans="12:12" x14ac:dyDescent="0.5">
      <c r="L2055" s="30"/>
    </row>
    <row r="2056" spans="12:12" x14ac:dyDescent="0.5">
      <c r="L2056" s="30"/>
    </row>
    <row r="2057" spans="12:12" x14ac:dyDescent="0.5">
      <c r="L2057" s="30"/>
    </row>
    <row r="2058" spans="12:12" x14ac:dyDescent="0.5">
      <c r="L2058" s="30"/>
    </row>
    <row r="2059" spans="12:12" x14ac:dyDescent="0.5">
      <c r="L2059" s="30"/>
    </row>
    <row r="2060" spans="12:12" x14ac:dyDescent="0.5">
      <c r="L2060" s="30"/>
    </row>
    <row r="2061" spans="12:12" x14ac:dyDescent="0.5">
      <c r="L2061" s="30"/>
    </row>
    <row r="2062" spans="12:12" x14ac:dyDescent="0.5">
      <c r="L2062" s="30"/>
    </row>
    <row r="2063" spans="12:12" x14ac:dyDescent="0.5">
      <c r="L2063" s="30"/>
    </row>
    <row r="2064" spans="12:12" x14ac:dyDescent="0.5">
      <c r="L2064" s="30"/>
    </row>
    <row r="2065" spans="12:12" x14ac:dyDescent="0.5">
      <c r="L2065" s="30"/>
    </row>
    <row r="2066" spans="12:12" x14ac:dyDescent="0.5">
      <c r="L2066" s="30"/>
    </row>
    <row r="2067" spans="12:12" x14ac:dyDescent="0.5">
      <c r="L2067" s="30"/>
    </row>
    <row r="2068" spans="12:12" x14ac:dyDescent="0.5">
      <c r="L2068" s="30"/>
    </row>
    <row r="2069" spans="12:12" x14ac:dyDescent="0.5">
      <c r="L2069" s="30"/>
    </row>
    <row r="2070" spans="12:12" x14ac:dyDescent="0.5">
      <c r="L2070" s="30"/>
    </row>
    <row r="2071" spans="12:12" x14ac:dyDescent="0.5">
      <c r="L2071" s="30"/>
    </row>
    <row r="2072" spans="12:12" x14ac:dyDescent="0.5">
      <c r="L2072" s="30"/>
    </row>
    <row r="2073" spans="12:12" x14ac:dyDescent="0.5">
      <c r="L2073" s="30"/>
    </row>
    <row r="2074" spans="12:12" x14ac:dyDescent="0.5">
      <c r="L2074" s="30"/>
    </row>
    <row r="2075" spans="12:12" x14ac:dyDescent="0.5">
      <c r="L2075" s="30"/>
    </row>
    <row r="2076" spans="12:12" x14ac:dyDescent="0.5">
      <c r="L2076" s="30"/>
    </row>
    <row r="2077" spans="12:12" x14ac:dyDescent="0.5">
      <c r="L2077" s="30"/>
    </row>
    <row r="2078" spans="12:12" x14ac:dyDescent="0.5">
      <c r="L2078" s="30"/>
    </row>
    <row r="2079" spans="12:12" x14ac:dyDescent="0.5">
      <c r="L2079" s="30"/>
    </row>
    <row r="2080" spans="12:12" x14ac:dyDescent="0.5">
      <c r="L2080" s="30"/>
    </row>
    <row r="2081" spans="12:12" x14ac:dyDescent="0.5">
      <c r="L2081" s="30"/>
    </row>
    <row r="2082" spans="12:12" x14ac:dyDescent="0.5">
      <c r="L2082" s="30"/>
    </row>
    <row r="2083" spans="12:12" x14ac:dyDescent="0.5">
      <c r="L2083" s="30"/>
    </row>
    <row r="2084" spans="12:12" x14ac:dyDescent="0.5">
      <c r="L2084" s="30"/>
    </row>
    <row r="2085" spans="12:12" x14ac:dyDescent="0.5">
      <c r="L2085" s="30"/>
    </row>
    <row r="2086" spans="12:12" x14ac:dyDescent="0.5">
      <c r="L2086" s="30"/>
    </row>
    <row r="2087" spans="12:12" x14ac:dyDescent="0.5">
      <c r="L2087" s="30"/>
    </row>
    <row r="2088" spans="12:12" x14ac:dyDescent="0.5">
      <c r="L2088" s="30"/>
    </row>
    <row r="2089" spans="12:12" x14ac:dyDescent="0.5">
      <c r="L2089" s="30"/>
    </row>
    <row r="2090" spans="12:12" x14ac:dyDescent="0.5">
      <c r="L2090" s="30"/>
    </row>
    <row r="2091" spans="12:12" x14ac:dyDescent="0.5">
      <c r="L2091" s="30"/>
    </row>
    <row r="2092" spans="12:12" x14ac:dyDescent="0.5">
      <c r="L2092" s="30"/>
    </row>
    <row r="2093" spans="12:12" x14ac:dyDescent="0.5">
      <c r="L2093" s="30"/>
    </row>
    <row r="2094" spans="12:12" x14ac:dyDescent="0.5">
      <c r="L2094" s="30"/>
    </row>
    <row r="2095" spans="12:12" x14ac:dyDescent="0.5">
      <c r="L2095" s="30"/>
    </row>
    <row r="2096" spans="12:12" x14ac:dyDescent="0.5">
      <c r="L2096" s="30"/>
    </row>
    <row r="2097" spans="12:12" x14ac:dyDescent="0.5">
      <c r="L2097" s="30"/>
    </row>
    <row r="2098" spans="12:12" x14ac:dyDescent="0.5">
      <c r="L2098" s="30"/>
    </row>
    <row r="2099" spans="12:12" x14ac:dyDescent="0.5">
      <c r="L2099" s="30"/>
    </row>
    <row r="2100" spans="12:12" x14ac:dyDescent="0.5">
      <c r="L2100" s="30"/>
    </row>
    <row r="2101" spans="12:12" x14ac:dyDescent="0.5">
      <c r="L2101" s="30"/>
    </row>
    <row r="2102" spans="12:12" x14ac:dyDescent="0.5">
      <c r="L2102" s="30"/>
    </row>
    <row r="2103" spans="12:12" x14ac:dyDescent="0.5">
      <c r="L2103" s="30"/>
    </row>
    <row r="2104" spans="12:12" x14ac:dyDescent="0.5">
      <c r="L2104" s="30"/>
    </row>
    <row r="2105" spans="12:12" x14ac:dyDescent="0.5">
      <c r="L2105" s="30"/>
    </row>
    <row r="2106" spans="12:12" x14ac:dyDescent="0.5">
      <c r="L2106" s="30"/>
    </row>
    <row r="2107" spans="12:12" x14ac:dyDescent="0.5">
      <c r="L2107" s="30"/>
    </row>
    <row r="2108" spans="12:12" x14ac:dyDescent="0.5">
      <c r="L2108" s="30"/>
    </row>
    <row r="2109" spans="12:12" x14ac:dyDescent="0.5">
      <c r="L2109" s="30"/>
    </row>
    <row r="2110" spans="12:12" x14ac:dyDescent="0.5">
      <c r="L2110" s="30"/>
    </row>
    <row r="2111" spans="12:12" x14ac:dyDescent="0.5">
      <c r="L2111" s="30"/>
    </row>
    <row r="2112" spans="12:12" x14ac:dyDescent="0.5">
      <c r="L2112" s="30"/>
    </row>
    <row r="2113" spans="12:12" x14ac:dyDescent="0.5">
      <c r="L2113" s="30"/>
    </row>
    <row r="2114" spans="12:12" x14ac:dyDescent="0.5">
      <c r="L2114" s="30"/>
    </row>
    <row r="2115" spans="12:12" x14ac:dyDescent="0.5">
      <c r="L2115" s="30"/>
    </row>
    <row r="2116" spans="12:12" x14ac:dyDescent="0.5">
      <c r="L2116" s="30"/>
    </row>
    <row r="2117" spans="12:12" x14ac:dyDescent="0.5">
      <c r="L2117" s="30"/>
    </row>
    <row r="2118" spans="12:12" x14ac:dyDescent="0.5">
      <c r="L2118" s="30"/>
    </row>
    <row r="2119" spans="12:12" x14ac:dyDescent="0.5">
      <c r="L2119" s="30"/>
    </row>
    <row r="2120" spans="12:12" x14ac:dyDescent="0.5">
      <c r="L2120" s="30"/>
    </row>
    <row r="2121" spans="12:12" x14ac:dyDescent="0.5">
      <c r="L2121" s="30"/>
    </row>
    <row r="2122" spans="12:12" x14ac:dyDescent="0.5">
      <c r="L2122" s="30"/>
    </row>
    <row r="2123" spans="12:12" x14ac:dyDescent="0.5">
      <c r="L2123" s="30"/>
    </row>
    <row r="2124" spans="12:12" x14ac:dyDescent="0.5">
      <c r="L2124" s="30"/>
    </row>
    <row r="2125" spans="12:12" x14ac:dyDescent="0.5">
      <c r="L2125" s="30"/>
    </row>
    <row r="2126" spans="12:12" x14ac:dyDescent="0.5">
      <c r="L2126" s="30"/>
    </row>
    <row r="2127" spans="12:12" x14ac:dyDescent="0.5">
      <c r="L2127" s="30"/>
    </row>
    <row r="2128" spans="12:12" x14ac:dyDescent="0.5">
      <c r="L2128" s="30"/>
    </row>
    <row r="2129" spans="12:12" x14ac:dyDescent="0.5">
      <c r="L2129" s="30"/>
    </row>
    <row r="2130" spans="12:12" x14ac:dyDescent="0.5">
      <c r="L2130" s="30"/>
    </row>
    <row r="2131" spans="12:12" x14ac:dyDescent="0.5">
      <c r="L2131" s="30"/>
    </row>
    <row r="2132" spans="12:12" x14ac:dyDescent="0.5">
      <c r="L2132" s="30"/>
    </row>
    <row r="2133" spans="12:12" x14ac:dyDescent="0.5">
      <c r="L2133" s="30"/>
    </row>
    <row r="2134" spans="12:12" x14ac:dyDescent="0.5">
      <c r="L2134" s="30"/>
    </row>
    <row r="2135" spans="12:12" x14ac:dyDescent="0.5">
      <c r="L2135" s="30"/>
    </row>
    <row r="2136" spans="12:12" x14ac:dyDescent="0.5">
      <c r="L2136" s="30"/>
    </row>
    <row r="2137" spans="12:12" x14ac:dyDescent="0.5">
      <c r="L2137" s="30"/>
    </row>
    <row r="2138" spans="12:12" x14ac:dyDescent="0.5">
      <c r="L2138" s="30"/>
    </row>
    <row r="2139" spans="12:12" x14ac:dyDescent="0.5">
      <c r="L2139" s="30"/>
    </row>
    <row r="2140" spans="12:12" x14ac:dyDescent="0.5">
      <c r="L2140" s="30"/>
    </row>
    <row r="2141" spans="12:12" x14ac:dyDescent="0.5">
      <c r="L2141" s="30"/>
    </row>
    <row r="2142" spans="12:12" x14ac:dyDescent="0.5">
      <c r="L2142" s="30"/>
    </row>
    <row r="2143" spans="12:12" x14ac:dyDescent="0.5">
      <c r="L2143" s="30"/>
    </row>
    <row r="2144" spans="12:12" x14ac:dyDescent="0.5">
      <c r="L2144" s="30"/>
    </row>
    <row r="2145" spans="12:12" x14ac:dyDescent="0.5">
      <c r="L2145" s="30"/>
    </row>
    <row r="2146" spans="12:12" x14ac:dyDescent="0.5">
      <c r="L2146" s="30"/>
    </row>
    <row r="2147" spans="12:12" x14ac:dyDescent="0.5">
      <c r="L2147" s="30"/>
    </row>
    <row r="2148" spans="12:12" x14ac:dyDescent="0.5">
      <c r="L2148" s="30"/>
    </row>
    <row r="2149" spans="12:12" x14ac:dyDescent="0.5">
      <c r="L2149" s="30"/>
    </row>
    <row r="2150" spans="12:12" x14ac:dyDescent="0.5">
      <c r="L2150" s="30"/>
    </row>
    <row r="2151" spans="12:12" x14ac:dyDescent="0.5">
      <c r="L2151" s="30"/>
    </row>
    <row r="2152" spans="12:12" x14ac:dyDescent="0.5">
      <c r="L2152" s="30"/>
    </row>
    <row r="2153" spans="12:12" x14ac:dyDescent="0.5">
      <c r="L2153" s="30"/>
    </row>
    <row r="2154" spans="12:12" x14ac:dyDescent="0.5">
      <c r="L2154" s="30"/>
    </row>
    <row r="2155" spans="12:12" x14ac:dyDescent="0.5">
      <c r="L2155" s="30"/>
    </row>
    <row r="2156" spans="12:12" x14ac:dyDescent="0.5">
      <c r="L2156" s="30"/>
    </row>
    <row r="2157" spans="12:12" x14ac:dyDescent="0.5">
      <c r="L2157" s="30"/>
    </row>
    <row r="2158" spans="12:12" x14ac:dyDescent="0.5">
      <c r="L2158" s="30"/>
    </row>
    <row r="2159" spans="12:12" x14ac:dyDescent="0.5">
      <c r="L2159" s="30"/>
    </row>
    <row r="2160" spans="12:12" x14ac:dyDescent="0.5">
      <c r="L2160" s="30"/>
    </row>
    <row r="2161" spans="12:12" x14ac:dyDescent="0.5">
      <c r="L2161" s="30"/>
    </row>
    <row r="2162" spans="12:12" x14ac:dyDescent="0.5">
      <c r="L2162" s="30"/>
    </row>
    <row r="2163" spans="12:12" x14ac:dyDescent="0.5">
      <c r="L2163" s="30"/>
    </row>
    <row r="2164" spans="12:12" x14ac:dyDescent="0.5">
      <c r="L2164" s="30"/>
    </row>
    <row r="2165" spans="12:12" x14ac:dyDescent="0.5">
      <c r="L2165" s="30"/>
    </row>
    <row r="2166" spans="12:12" x14ac:dyDescent="0.5">
      <c r="L2166" s="30"/>
    </row>
    <row r="2167" spans="12:12" x14ac:dyDescent="0.5">
      <c r="L2167" s="30"/>
    </row>
    <row r="2168" spans="12:12" x14ac:dyDescent="0.5">
      <c r="L2168" s="30"/>
    </row>
    <row r="2169" spans="12:12" x14ac:dyDescent="0.5">
      <c r="L2169" s="30"/>
    </row>
    <row r="2170" spans="12:12" x14ac:dyDescent="0.5">
      <c r="L2170" s="30"/>
    </row>
    <row r="2171" spans="12:12" x14ac:dyDescent="0.5">
      <c r="L2171" s="30"/>
    </row>
    <row r="2172" spans="12:12" x14ac:dyDescent="0.5">
      <c r="L2172" s="30"/>
    </row>
    <row r="2173" spans="12:12" x14ac:dyDescent="0.5">
      <c r="L2173" s="30"/>
    </row>
    <row r="2174" spans="12:12" x14ac:dyDescent="0.5">
      <c r="L2174" s="30"/>
    </row>
    <row r="2175" spans="12:12" x14ac:dyDescent="0.5">
      <c r="L2175" s="30"/>
    </row>
    <row r="2176" spans="12:12" x14ac:dyDescent="0.5">
      <c r="L2176" s="30"/>
    </row>
    <row r="2177" spans="12:12" x14ac:dyDescent="0.5">
      <c r="L2177" s="30"/>
    </row>
    <row r="2178" spans="12:12" x14ac:dyDescent="0.5">
      <c r="L2178" s="30"/>
    </row>
    <row r="2179" spans="12:12" x14ac:dyDescent="0.5">
      <c r="L2179" s="30"/>
    </row>
    <row r="2180" spans="12:12" x14ac:dyDescent="0.5">
      <c r="L2180" s="30"/>
    </row>
    <row r="2181" spans="12:12" x14ac:dyDescent="0.5">
      <c r="L2181" s="30"/>
    </row>
    <row r="2182" spans="12:12" x14ac:dyDescent="0.5">
      <c r="L2182" s="30"/>
    </row>
    <row r="2183" spans="12:12" x14ac:dyDescent="0.5">
      <c r="L2183" s="30"/>
    </row>
    <row r="2184" spans="12:12" x14ac:dyDescent="0.5">
      <c r="L2184" s="30"/>
    </row>
    <row r="2185" spans="12:12" x14ac:dyDescent="0.5">
      <c r="L2185" s="30"/>
    </row>
    <row r="2186" spans="12:12" x14ac:dyDescent="0.5">
      <c r="L2186" s="30"/>
    </row>
    <row r="2187" spans="12:12" x14ac:dyDescent="0.5">
      <c r="L2187" s="30"/>
    </row>
    <row r="2188" spans="12:12" x14ac:dyDescent="0.5">
      <c r="L2188" s="30"/>
    </row>
    <row r="2189" spans="12:12" x14ac:dyDescent="0.5">
      <c r="L2189" s="30"/>
    </row>
    <row r="2190" spans="12:12" x14ac:dyDescent="0.5">
      <c r="L2190" s="30"/>
    </row>
    <row r="2191" spans="12:12" x14ac:dyDescent="0.5">
      <c r="L2191" s="30"/>
    </row>
    <row r="2192" spans="12:12" x14ac:dyDescent="0.5">
      <c r="L2192" s="30"/>
    </row>
    <row r="2193" spans="12:12" x14ac:dyDescent="0.5">
      <c r="L2193" s="30"/>
    </row>
    <row r="2194" spans="12:12" x14ac:dyDescent="0.5">
      <c r="L2194" s="30"/>
    </row>
    <row r="2195" spans="12:12" x14ac:dyDescent="0.5">
      <c r="L2195" s="30"/>
    </row>
    <row r="2196" spans="12:12" x14ac:dyDescent="0.5">
      <c r="L2196" s="30"/>
    </row>
    <row r="2197" spans="12:12" x14ac:dyDescent="0.5">
      <c r="L2197" s="30"/>
    </row>
    <row r="2198" spans="12:12" x14ac:dyDescent="0.5">
      <c r="L2198" s="30"/>
    </row>
    <row r="2199" spans="12:12" x14ac:dyDescent="0.5">
      <c r="L2199" s="30"/>
    </row>
    <row r="2200" spans="12:12" x14ac:dyDescent="0.5">
      <c r="L2200" s="30"/>
    </row>
    <row r="2201" spans="12:12" x14ac:dyDescent="0.5">
      <c r="L2201" s="30"/>
    </row>
    <row r="2202" spans="12:12" x14ac:dyDescent="0.5">
      <c r="L2202" s="30"/>
    </row>
    <row r="2203" spans="12:12" x14ac:dyDescent="0.5">
      <c r="L2203" s="30"/>
    </row>
    <row r="2204" spans="12:12" x14ac:dyDescent="0.5">
      <c r="L2204" s="30"/>
    </row>
    <row r="2205" spans="12:12" x14ac:dyDescent="0.5">
      <c r="L2205" s="30"/>
    </row>
    <row r="2206" spans="12:12" x14ac:dyDescent="0.5">
      <c r="L2206" s="30"/>
    </row>
    <row r="2207" spans="12:12" x14ac:dyDescent="0.5">
      <c r="L2207" s="30"/>
    </row>
    <row r="2208" spans="12:12" x14ac:dyDescent="0.5">
      <c r="L2208" s="30"/>
    </row>
    <row r="2209" spans="12:12" x14ac:dyDescent="0.5">
      <c r="L2209" s="30"/>
    </row>
    <row r="2210" spans="12:12" x14ac:dyDescent="0.5">
      <c r="L2210" s="30"/>
    </row>
    <row r="2211" spans="12:12" x14ac:dyDescent="0.5">
      <c r="L2211" s="30"/>
    </row>
    <row r="2212" spans="12:12" x14ac:dyDescent="0.5">
      <c r="L2212" s="30"/>
    </row>
    <row r="2213" spans="12:12" x14ac:dyDescent="0.5">
      <c r="L2213" s="30"/>
    </row>
    <row r="2214" spans="12:12" x14ac:dyDescent="0.5">
      <c r="L2214" s="30"/>
    </row>
    <row r="2215" spans="12:12" x14ac:dyDescent="0.5">
      <c r="L2215" s="30"/>
    </row>
    <row r="2216" spans="12:12" x14ac:dyDescent="0.5">
      <c r="L2216" s="30"/>
    </row>
    <row r="2217" spans="12:12" x14ac:dyDescent="0.5">
      <c r="L2217" s="30"/>
    </row>
    <row r="2218" spans="12:12" x14ac:dyDescent="0.5">
      <c r="L2218" s="30"/>
    </row>
    <row r="2219" spans="12:12" x14ac:dyDescent="0.5">
      <c r="L2219" s="30"/>
    </row>
    <row r="2220" spans="12:12" x14ac:dyDescent="0.5">
      <c r="L2220" s="30"/>
    </row>
    <row r="2221" spans="12:12" x14ac:dyDescent="0.5">
      <c r="L2221" s="30"/>
    </row>
    <row r="2222" spans="12:12" x14ac:dyDescent="0.5">
      <c r="L2222" s="30"/>
    </row>
    <row r="2223" spans="12:12" x14ac:dyDescent="0.5">
      <c r="L2223" s="30"/>
    </row>
    <row r="2224" spans="12:12" x14ac:dyDescent="0.5">
      <c r="L2224" s="30"/>
    </row>
    <row r="2225" spans="12:12" x14ac:dyDescent="0.5">
      <c r="L2225" s="30"/>
    </row>
    <row r="2226" spans="12:12" x14ac:dyDescent="0.5">
      <c r="L2226" s="30"/>
    </row>
    <row r="2227" spans="12:12" x14ac:dyDescent="0.5">
      <c r="L2227" s="30"/>
    </row>
    <row r="2228" spans="12:12" x14ac:dyDescent="0.5">
      <c r="L2228" s="30"/>
    </row>
    <row r="2229" spans="12:12" x14ac:dyDescent="0.5">
      <c r="L2229" s="30"/>
    </row>
    <row r="2230" spans="12:12" x14ac:dyDescent="0.5">
      <c r="L2230" s="30"/>
    </row>
    <row r="2231" spans="12:12" x14ac:dyDescent="0.5">
      <c r="L2231" s="30"/>
    </row>
    <row r="2232" spans="12:12" x14ac:dyDescent="0.5">
      <c r="L2232" s="30"/>
    </row>
    <row r="2233" spans="12:12" x14ac:dyDescent="0.5">
      <c r="L2233" s="30"/>
    </row>
    <row r="2234" spans="12:12" x14ac:dyDescent="0.5">
      <c r="L2234" s="30"/>
    </row>
    <row r="2235" spans="12:12" x14ac:dyDescent="0.5">
      <c r="L2235" s="30"/>
    </row>
    <row r="2236" spans="12:12" x14ac:dyDescent="0.5">
      <c r="L2236" s="30"/>
    </row>
    <row r="2237" spans="12:12" x14ac:dyDescent="0.5">
      <c r="L2237" s="30"/>
    </row>
    <row r="2238" spans="12:12" x14ac:dyDescent="0.5">
      <c r="L2238" s="30"/>
    </row>
    <row r="2239" spans="12:12" x14ac:dyDescent="0.5">
      <c r="L2239" s="30"/>
    </row>
    <row r="2240" spans="12:12" x14ac:dyDescent="0.5">
      <c r="L2240" s="30"/>
    </row>
    <row r="2241" spans="12:12" x14ac:dyDescent="0.5">
      <c r="L2241" s="30"/>
    </row>
    <row r="2242" spans="12:12" x14ac:dyDescent="0.5">
      <c r="L2242" s="30"/>
    </row>
    <row r="2243" spans="12:12" x14ac:dyDescent="0.5">
      <c r="L2243" s="30"/>
    </row>
    <row r="2244" spans="12:12" x14ac:dyDescent="0.5">
      <c r="L2244" s="30"/>
    </row>
    <row r="2245" spans="12:12" x14ac:dyDescent="0.5">
      <c r="L2245" s="30"/>
    </row>
    <row r="2246" spans="12:12" x14ac:dyDescent="0.5">
      <c r="L2246" s="30"/>
    </row>
    <row r="2247" spans="12:12" x14ac:dyDescent="0.5">
      <c r="L2247" s="30"/>
    </row>
    <row r="2248" spans="12:12" x14ac:dyDescent="0.5">
      <c r="L2248" s="30"/>
    </row>
    <row r="2249" spans="12:12" x14ac:dyDescent="0.5">
      <c r="L2249" s="30"/>
    </row>
    <row r="2250" spans="12:12" x14ac:dyDescent="0.5">
      <c r="L2250" s="30"/>
    </row>
    <row r="2251" spans="12:12" x14ac:dyDescent="0.5">
      <c r="L2251" s="30"/>
    </row>
    <row r="2252" spans="12:12" x14ac:dyDescent="0.5">
      <c r="L2252" s="30"/>
    </row>
    <row r="2253" spans="12:12" x14ac:dyDescent="0.5">
      <c r="L2253" s="30"/>
    </row>
    <row r="2254" spans="12:12" x14ac:dyDescent="0.5">
      <c r="L2254" s="30"/>
    </row>
    <row r="2255" spans="12:12" x14ac:dyDescent="0.5">
      <c r="L2255" s="30"/>
    </row>
    <row r="2256" spans="12:12" x14ac:dyDescent="0.5">
      <c r="L2256" s="30"/>
    </row>
    <row r="2257" spans="12:12" x14ac:dyDescent="0.5">
      <c r="L2257" s="30"/>
    </row>
    <row r="2258" spans="12:12" x14ac:dyDescent="0.5">
      <c r="L2258" s="30"/>
    </row>
    <row r="2259" spans="12:12" x14ac:dyDescent="0.5">
      <c r="L2259" s="30"/>
    </row>
    <row r="2260" spans="12:12" x14ac:dyDescent="0.5">
      <c r="L2260" s="30"/>
    </row>
    <row r="2261" spans="12:12" x14ac:dyDescent="0.5">
      <c r="L2261" s="30"/>
    </row>
    <row r="2262" spans="12:12" x14ac:dyDescent="0.5">
      <c r="L2262" s="30"/>
    </row>
    <row r="2263" spans="12:12" x14ac:dyDescent="0.5">
      <c r="L2263" s="30"/>
    </row>
    <row r="2264" spans="12:12" x14ac:dyDescent="0.5">
      <c r="L2264" s="30"/>
    </row>
    <row r="2265" spans="12:12" x14ac:dyDescent="0.5">
      <c r="L2265" s="30"/>
    </row>
    <row r="2266" spans="12:12" x14ac:dyDescent="0.5">
      <c r="L2266" s="30"/>
    </row>
    <row r="2267" spans="12:12" x14ac:dyDescent="0.5">
      <c r="L2267" s="30"/>
    </row>
    <row r="2268" spans="12:12" x14ac:dyDescent="0.5">
      <c r="L2268" s="30"/>
    </row>
    <row r="2269" spans="12:12" x14ac:dyDescent="0.5">
      <c r="L2269" s="30"/>
    </row>
    <row r="2270" spans="12:12" x14ac:dyDescent="0.5">
      <c r="L2270" s="30"/>
    </row>
    <row r="2271" spans="12:12" x14ac:dyDescent="0.5">
      <c r="L2271" s="30"/>
    </row>
    <row r="2272" spans="12:12" x14ac:dyDescent="0.5">
      <c r="L2272" s="30"/>
    </row>
    <row r="2273" spans="12:12" x14ac:dyDescent="0.5">
      <c r="L2273" s="30"/>
    </row>
    <row r="2274" spans="12:12" x14ac:dyDescent="0.5">
      <c r="L2274" s="30"/>
    </row>
    <row r="2275" spans="12:12" x14ac:dyDescent="0.5">
      <c r="L2275" s="30"/>
    </row>
    <row r="2276" spans="12:12" x14ac:dyDescent="0.5">
      <c r="L2276" s="30"/>
    </row>
    <row r="2277" spans="12:12" x14ac:dyDescent="0.5">
      <c r="L2277" s="30"/>
    </row>
    <row r="2278" spans="12:12" x14ac:dyDescent="0.5">
      <c r="L2278" s="30"/>
    </row>
    <row r="2279" spans="12:12" x14ac:dyDescent="0.5">
      <c r="L2279" s="30"/>
    </row>
    <row r="2280" spans="12:12" x14ac:dyDescent="0.5">
      <c r="L2280" s="30"/>
    </row>
    <row r="2281" spans="12:12" x14ac:dyDescent="0.5">
      <c r="L2281" s="30"/>
    </row>
    <row r="2282" spans="12:12" x14ac:dyDescent="0.5">
      <c r="L2282" s="30"/>
    </row>
    <row r="2283" spans="12:12" x14ac:dyDescent="0.5">
      <c r="L2283" s="30"/>
    </row>
    <row r="2284" spans="12:12" x14ac:dyDescent="0.5">
      <c r="L2284" s="30"/>
    </row>
    <row r="2285" spans="12:12" x14ac:dyDescent="0.5">
      <c r="L2285" s="30"/>
    </row>
    <row r="2286" spans="12:12" x14ac:dyDescent="0.5">
      <c r="L2286" s="30"/>
    </row>
    <row r="2287" spans="12:12" x14ac:dyDescent="0.5">
      <c r="L2287" s="30"/>
    </row>
    <row r="2288" spans="12:12" x14ac:dyDescent="0.5">
      <c r="L2288" s="30"/>
    </row>
    <row r="2289" spans="12:12" x14ac:dyDescent="0.5">
      <c r="L2289" s="30"/>
    </row>
    <row r="2290" spans="12:12" x14ac:dyDescent="0.5">
      <c r="L2290" s="30"/>
    </row>
    <row r="2291" spans="12:12" x14ac:dyDescent="0.5">
      <c r="L2291" s="30"/>
    </row>
    <row r="2292" spans="12:12" x14ac:dyDescent="0.5">
      <c r="L2292" s="30"/>
    </row>
    <row r="2293" spans="12:12" x14ac:dyDescent="0.5">
      <c r="L2293" s="30"/>
    </row>
    <row r="2294" spans="12:12" x14ac:dyDescent="0.5">
      <c r="L2294" s="30"/>
    </row>
    <row r="2295" spans="12:12" x14ac:dyDescent="0.5">
      <c r="L2295" s="30"/>
    </row>
    <row r="2296" spans="12:12" x14ac:dyDescent="0.5">
      <c r="L2296" s="30"/>
    </row>
    <row r="2297" spans="12:12" x14ac:dyDescent="0.5">
      <c r="L2297" s="30"/>
    </row>
    <row r="2298" spans="12:12" x14ac:dyDescent="0.5">
      <c r="L2298" s="30"/>
    </row>
    <row r="2299" spans="12:12" x14ac:dyDescent="0.5">
      <c r="L2299" s="30"/>
    </row>
    <row r="2300" spans="12:12" x14ac:dyDescent="0.5">
      <c r="L2300" s="30"/>
    </row>
    <row r="2301" spans="12:12" x14ac:dyDescent="0.5">
      <c r="L2301" s="30"/>
    </row>
    <row r="2302" spans="12:12" x14ac:dyDescent="0.5">
      <c r="L2302" s="30"/>
    </row>
    <row r="2303" spans="12:12" x14ac:dyDescent="0.5">
      <c r="L2303" s="30"/>
    </row>
    <row r="2304" spans="12:12" x14ac:dyDescent="0.5">
      <c r="L2304" s="30"/>
    </row>
    <row r="2305" spans="12:12" x14ac:dyDescent="0.5">
      <c r="L2305" s="30"/>
    </row>
    <row r="2306" spans="12:12" x14ac:dyDescent="0.5">
      <c r="L2306" s="30"/>
    </row>
    <row r="2307" spans="12:12" x14ac:dyDescent="0.5">
      <c r="L2307" s="30"/>
    </row>
    <row r="2308" spans="12:12" x14ac:dyDescent="0.5">
      <c r="L2308" s="30"/>
    </row>
    <row r="2309" spans="12:12" x14ac:dyDescent="0.5">
      <c r="L2309" s="30"/>
    </row>
    <row r="2310" spans="12:12" x14ac:dyDescent="0.5">
      <c r="L2310" s="30"/>
    </row>
    <row r="2311" spans="12:12" x14ac:dyDescent="0.5">
      <c r="L2311" s="30"/>
    </row>
    <row r="2312" spans="12:12" x14ac:dyDescent="0.5">
      <c r="L2312" s="30"/>
    </row>
    <row r="2313" spans="12:12" x14ac:dyDescent="0.5">
      <c r="L2313" s="30"/>
    </row>
    <row r="2314" spans="12:12" x14ac:dyDescent="0.5">
      <c r="L2314" s="30"/>
    </row>
    <row r="2315" spans="12:12" x14ac:dyDescent="0.5">
      <c r="L2315" s="30"/>
    </row>
    <row r="2316" spans="12:12" x14ac:dyDescent="0.5">
      <c r="L2316" s="30"/>
    </row>
    <row r="2317" spans="12:12" x14ac:dyDescent="0.5">
      <c r="L2317" s="30"/>
    </row>
    <row r="2318" spans="12:12" x14ac:dyDescent="0.5">
      <c r="L2318" s="30"/>
    </row>
    <row r="2319" spans="12:12" x14ac:dyDescent="0.5">
      <c r="L2319" s="30"/>
    </row>
    <row r="2320" spans="12:12" x14ac:dyDescent="0.5">
      <c r="L2320" s="30"/>
    </row>
    <row r="2321" spans="12:12" x14ac:dyDescent="0.5">
      <c r="L2321" s="30"/>
    </row>
    <row r="2322" spans="12:12" x14ac:dyDescent="0.5">
      <c r="L2322" s="30"/>
    </row>
    <row r="2323" spans="12:12" x14ac:dyDescent="0.5">
      <c r="L2323" s="30"/>
    </row>
    <row r="2324" spans="12:12" x14ac:dyDescent="0.5">
      <c r="L2324" s="30"/>
    </row>
    <row r="2325" spans="12:12" x14ac:dyDescent="0.5">
      <c r="L2325" s="30"/>
    </row>
    <row r="2326" spans="12:12" x14ac:dyDescent="0.5">
      <c r="L2326" s="30"/>
    </row>
    <row r="2327" spans="12:12" x14ac:dyDescent="0.5">
      <c r="L2327" s="30"/>
    </row>
    <row r="2328" spans="12:12" x14ac:dyDescent="0.5">
      <c r="L2328" s="30"/>
    </row>
    <row r="2329" spans="12:12" x14ac:dyDescent="0.5">
      <c r="L2329" s="30"/>
    </row>
    <row r="2330" spans="12:12" x14ac:dyDescent="0.5">
      <c r="L2330" s="30"/>
    </row>
    <row r="2331" spans="12:12" x14ac:dyDescent="0.5">
      <c r="L2331" s="30"/>
    </row>
    <row r="2332" spans="12:12" x14ac:dyDescent="0.5">
      <c r="L2332" s="30"/>
    </row>
    <row r="2333" spans="12:12" x14ac:dyDescent="0.5">
      <c r="L2333" s="30"/>
    </row>
    <row r="2334" spans="12:12" x14ac:dyDescent="0.5">
      <c r="L2334" s="30"/>
    </row>
    <row r="2335" spans="12:12" x14ac:dyDescent="0.5">
      <c r="L2335" s="30"/>
    </row>
    <row r="2336" spans="12:12" x14ac:dyDescent="0.5">
      <c r="L2336" s="30"/>
    </row>
    <row r="2337" spans="12:12" x14ac:dyDescent="0.5">
      <c r="L2337" s="30"/>
    </row>
    <row r="2338" spans="12:12" x14ac:dyDescent="0.5">
      <c r="L2338" s="30"/>
    </row>
    <row r="2339" spans="12:12" x14ac:dyDescent="0.5">
      <c r="L2339" s="30"/>
    </row>
    <row r="2340" spans="12:12" x14ac:dyDescent="0.5">
      <c r="L2340" s="30"/>
    </row>
    <row r="2341" spans="12:12" x14ac:dyDescent="0.5">
      <c r="L2341" s="30"/>
    </row>
    <row r="2342" spans="12:12" x14ac:dyDescent="0.5">
      <c r="L2342" s="30"/>
    </row>
    <row r="2343" spans="12:12" x14ac:dyDescent="0.5">
      <c r="L2343" s="30"/>
    </row>
    <row r="2344" spans="12:12" x14ac:dyDescent="0.5">
      <c r="L2344" s="30"/>
    </row>
    <row r="2345" spans="12:12" x14ac:dyDescent="0.5">
      <c r="L2345" s="30"/>
    </row>
    <row r="2346" spans="12:12" x14ac:dyDescent="0.5">
      <c r="L2346" s="30"/>
    </row>
    <row r="2347" spans="12:12" x14ac:dyDescent="0.5">
      <c r="L2347" s="30"/>
    </row>
    <row r="2348" spans="12:12" x14ac:dyDescent="0.5">
      <c r="L2348" s="30"/>
    </row>
    <row r="2349" spans="12:12" x14ac:dyDescent="0.5">
      <c r="L2349" s="30"/>
    </row>
    <row r="2350" spans="12:12" x14ac:dyDescent="0.5">
      <c r="L2350" s="30"/>
    </row>
    <row r="2351" spans="12:12" x14ac:dyDescent="0.5">
      <c r="L2351" s="30"/>
    </row>
    <row r="2352" spans="12:12" x14ac:dyDescent="0.5">
      <c r="L2352" s="30"/>
    </row>
    <row r="2353" spans="12:12" x14ac:dyDescent="0.5">
      <c r="L2353" s="30"/>
    </row>
    <row r="2354" spans="12:12" x14ac:dyDescent="0.5">
      <c r="L2354" s="30"/>
    </row>
    <row r="2355" spans="12:12" x14ac:dyDescent="0.5">
      <c r="L2355" s="30"/>
    </row>
    <row r="2356" spans="12:12" x14ac:dyDescent="0.5">
      <c r="L2356" s="30"/>
    </row>
    <row r="2357" spans="12:12" x14ac:dyDescent="0.5">
      <c r="L2357" s="30"/>
    </row>
    <row r="2358" spans="12:12" x14ac:dyDescent="0.5">
      <c r="L2358" s="30"/>
    </row>
    <row r="2359" spans="12:12" x14ac:dyDescent="0.5">
      <c r="L2359" s="30"/>
    </row>
    <row r="2360" spans="12:12" x14ac:dyDescent="0.5">
      <c r="L2360" s="30"/>
    </row>
    <row r="2361" spans="12:12" x14ac:dyDescent="0.5">
      <c r="L2361" s="30"/>
    </row>
    <row r="2362" spans="12:12" x14ac:dyDescent="0.5">
      <c r="L2362" s="30"/>
    </row>
    <row r="2363" spans="12:12" x14ac:dyDescent="0.5">
      <c r="L2363" s="30"/>
    </row>
    <row r="2364" spans="12:12" x14ac:dyDescent="0.5">
      <c r="L2364" s="30"/>
    </row>
    <row r="2365" spans="12:12" x14ac:dyDescent="0.5">
      <c r="L2365" s="30"/>
    </row>
    <row r="2366" spans="12:12" x14ac:dyDescent="0.5">
      <c r="L2366" s="30"/>
    </row>
    <row r="2367" spans="12:12" x14ac:dyDescent="0.5">
      <c r="L2367" s="30"/>
    </row>
    <row r="2368" spans="12:12" x14ac:dyDescent="0.5">
      <c r="L2368" s="30"/>
    </row>
    <row r="2369" spans="12:12" x14ac:dyDescent="0.5">
      <c r="L2369" s="30"/>
    </row>
    <row r="2370" spans="12:12" x14ac:dyDescent="0.5">
      <c r="L2370" s="30"/>
    </row>
    <row r="2371" spans="12:12" x14ac:dyDescent="0.5">
      <c r="L2371" s="30"/>
    </row>
    <row r="2372" spans="12:12" x14ac:dyDescent="0.5">
      <c r="L2372" s="30"/>
    </row>
    <row r="2373" spans="12:12" x14ac:dyDescent="0.5">
      <c r="L2373" s="30"/>
    </row>
    <row r="2374" spans="12:12" x14ac:dyDescent="0.5">
      <c r="L2374" s="30"/>
    </row>
    <row r="2375" spans="12:12" x14ac:dyDescent="0.5">
      <c r="L2375" s="30"/>
    </row>
    <row r="2376" spans="12:12" x14ac:dyDescent="0.5">
      <c r="L2376" s="30"/>
    </row>
    <row r="2377" spans="12:12" x14ac:dyDescent="0.5">
      <c r="L2377" s="30"/>
    </row>
    <row r="2378" spans="12:12" x14ac:dyDescent="0.5">
      <c r="L2378" s="30"/>
    </row>
    <row r="2379" spans="12:12" x14ac:dyDescent="0.5">
      <c r="L2379" s="30"/>
    </row>
    <row r="2380" spans="12:12" x14ac:dyDescent="0.5">
      <c r="L2380" s="30"/>
    </row>
    <row r="2381" spans="12:12" x14ac:dyDescent="0.5">
      <c r="L2381" s="30"/>
    </row>
    <row r="2382" spans="12:12" x14ac:dyDescent="0.5">
      <c r="L2382" s="30"/>
    </row>
    <row r="2383" spans="12:12" x14ac:dyDescent="0.5">
      <c r="L2383" s="30"/>
    </row>
    <row r="2384" spans="12:12" x14ac:dyDescent="0.5">
      <c r="L2384" s="30"/>
    </row>
    <row r="2385" spans="12:12" x14ac:dyDescent="0.5">
      <c r="L2385" s="30"/>
    </row>
    <row r="2386" spans="12:12" x14ac:dyDescent="0.5">
      <c r="L2386" s="30"/>
    </row>
    <row r="2387" spans="12:12" x14ac:dyDescent="0.5">
      <c r="L2387" s="30"/>
    </row>
    <row r="2388" spans="12:12" x14ac:dyDescent="0.5">
      <c r="L2388" s="30"/>
    </row>
    <row r="2389" spans="12:12" x14ac:dyDescent="0.5">
      <c r="L2389" s="30"/>
    </row>
    <row r="2390" spans="12:12" x14ac:dyDescent="0.5">
      <c r="L2390" s="30"/>
    </row>
    <row r="2391" spans="12:12" x14ac:dyDescent="0.5">
      <c r="L2391" s="30"/>
    </row>
    <row r="2392" spans="12:12" x14ac:dyDescent="0.5">
      <c r="L2392" s="30"/>
    </row>
    <row r="2393" spans="12:12" x14ac:dyDescent="0.5">
      <c r="L2393" s="30"/>
    </row>
    <row r="2394" spans="12:12" x14ac:dyDescent="0.5">
      <c r="L2394" s="30"/>
    </row>
    <row r="2395" spans="12:12" x14ac:dyDescent="0.5">
      <c r="L2395" s="30"/>
    </row>
    <row r="2396" spans="12:12" x14ac:dyDescent="0.5">
      <c r="L2396" s="30"/>
    </row>
    <row r="2397" spans="12:12" x14ac:dyDescent="0.5">
      <c r="L2397" s="30"/>
    </row>
    <row r="2398" spans="12:12" x14ac:dyDescent="0.5">
      <c r="L2398" s="30"/>
    </row>
    <row r="2399" spans="12:12" x14ac:dyDescent="0.5">
      <c r="L2399" s="30"/>
    </row>
    <row r="2400" spans="12:12" x14ac:dyDescent="0.5">
      <c r="L2400" s="30"/>
    </row>
    <row r="2401" spans="12:12" x14ac:dyDescent="0.5">
      <c r="L2401" s="30"/>
    </row>
    <row r="2402" spans="12:12" x14ac:dyDescent="0.5">
      <c r="L2402" s="30"/>
    </row>
    <row r="2403" spans="12:12" x14ac:dyDescent="0.5">
      <c r="L2403" s="30"/>
    </row>
    <row r="2404" spans="12:12" x14ac:dyDescent="0.5">
      <c r="L2404" s="30"/>
    </row>
    <row r="2405" spans="12:12" x14ac:dyDescent="0.5">
      <c r="L2405" s="30"/>
    </row>
    <row r="2406" spans="12:12" x14ac:dyDescent="0.5">
      <c r="L2406" s="30"/>
    </row>
    <row r="2407" spans="12:12" x14ac:dyDescent="0.5">
      <c r="L2407" s="30"/>
    </row>
    <row r="2408" spans="12:12" x14ac:dyDescent="0.5">
      <c r="L2408" s="30"/>
    </row>
    <row r="2409" spans="12:12" x14ac:dyDescent="0.5">
      <c r="L2409" s="30"/>
    </row>
    <row r="2410" spans="12:12" x14ac:dyDescent="0.5">
      <c r="L2410" s="30"/>
    </row>
    <row r="2411" spans="12:12" x14ac:dyDescent="0.5">
      <c r="L2411" s="30"/>
    </row>
    <row r="2412" spans="12:12" x14ac:dyDescent="0.5">
      <c r="L2412" s="30"/>
    </row>
    <row r="2413" spans="12:12" x14ac:dyDescent="0.5">
      <c r="L2413" s="30"/>
    </row>
    <row r="2414" spans="12:12" x14ac:dyDescent="0.5">
      <c r="L2414" s="30"/>
    </row>
    <row r="2415" spans="12:12" x14ac:dyDescent="0.5">
      <c r="L2415" s="30"/>
    </row>
    <row r="2416" spans="12:12" x14ac:dyDescent="0.5">
      <c r="L2416" s="30"/>
    </row>
    <row r="2417" spans="12:12" x14ac:dyDescent="0.5">
      <c r="L2417" s="30"/>
    </row>
    <row r="2418" spans="12:12" x14ac:dyDescent="0.5">
      <c r="L2418" s="30"/>
    </row>
    <row r="2419" spans="12:12" x14ac:dyDescent="0.5">
      <c r="L2419" s="30"/>
    </row>
    <row r="2420" spans="12:12" x14ac:dyDescent="0.5">
      <c r="L2420" s="30"/>
    </row>
    <row r="2421" spans="12:12" x14ac:dyDescent="0.5">
      <c r="L2421" s="30"/>
    </row>
    <row r="2422" spans="12:12" x14ac:dyDescent="0.5">
      <c r="L2422" s="30"/>
    </row>
    <row r="2423" spans="12:12" x14ac:dyDescent="0.5">
      <c r="L2423" s="30"/>
    </row>
    <row r="2424" spans="12:12" x14ac:dyDescent="0.5">
      <c r="L2424" s="30"/>
    </row>
    <row r="2425" spans="12:12" x14ac:dyDescent="0.5">
      <c r="L2425" s="30"/>
    </row>
    <row r="2426" spans="12:12" x14ac:dyDescent="0.5">
      <c r="L2426" s="30"/>
    </row>
    <row r="2427" spans="12:12" x14ac:dyDescent="0.5">
      <c r="L2427" s="30"/>
    </row>
    <row r="2428" spans="12:12" x14ac:dyDescent="0.5">
      <c r="L2428" s="30"/>
    </row>
    <row r="2429" spans="12:12" x14ac:dyDescent="0.5">
      <c r="L2429" s="30"/>
    </row>
    <row r="2430" spans="12:12" x14ac:dyDescent="0.5">
      <c r="L2430" s="30"/>
    </row>
    <row r="2431" spans="12:12" x14ac:dyDescent="0.5">
      <c r="L2431" s="30"/>
    </row>
    <row r="2432" spans="12:12" x14ac:dyDescent="0.5">
      <c r="L2432" s="30"/>
    </row>
    <row r="2433" spans="12:12" x14ac:dyDescent="0.5">
      <c r="L2433" s="30"/>
    </row>
    <row r="2434" spans="12:12" x14ac:dyDescent="0.5">
      <c r="L2434" s="30"/>
    </row>
    <row r="2435" spans="12:12" x14ac:dyDescent="0.5">
      <c r="L2435" s="30"/>
    </row>
    <row r="2436" spans="12:12" x14ac:dyDescent="0.5">
      <c r="L2436" s="30"/>
    </row>
    <row r="2437" spans="12:12" x14ac:dyDescent="0.5">
      <c r="L2437" s="30"/>
    </row>
    <row r="2438" spans="12:12" x14ac:dyDescent="0.5">
      <c r="L2438" s="30"/>
    </row>
    <row r="2439" spans="12:12" x14ac:dyDescent="0.5">
      <c r="L2439" s="30"/>
    </row>
    <row r="2440" spans="12:12" x14ac:dyDescent="0.5">
      <c r="L2440" s="30"/>
    </row>
    <row r="2441" spans="12:12" x14ac:dyDescent="0.5">
      <c r="L2441" s="30"/>
    </row>
    <row r="2442" spans="12:12" x14ac:dyDescent="0.5">
      <c r="L2442" s="30"/>
    </row>
    <row r="2443" spans="12:12" x14ac:dyDescent="0.5">
      <c r="L2443" s="30"/>
    </row>
    <row r="2444" spans="12:12" x14ac:dyDescent="0.5">
      <c r="L2444" s="30"/>
    </row>
    <row r="2445" spans="12:12" x14ac:dyDescent="0.5">
      <c r="L2445" s="30"/>
    </row>
    <row r="2446" spans="12:12" x14ac:dyDescent="0.5">
      <c r="L2446" s="30"/>
    </row>
    <row r="2447" spans="12:12" x14ac:dyDescent="0.5">
      <c r="L2447" s="30"/>
    </row>
    <row r="2448" spans="12:12" x14ac:dyDescent="0.5">
      <c r="L2448" s="30"/>
    </row>
    <row r="2449" spans="12:12" x14ac:dyDescent="0.5">
      <c r="L2449" s="30"/>
    </row>
    <row r="2450" spans="12:12" x14ac:dyDescent="0.5">
      <c r="L2450" s="30"/>
    </row>
    <row r="2451" spans="12:12" x14ac:dyDescent="0.5">
      <c r="L2451" s="30"/>
    </row>
    <row r="2452" spans="12:12" x14ac:dyDescent="0.5">
      <c r="L2452" s="30"/>
    </row>
    <row r="2453" spans="12:12" x14ac:dyDescent="0.5">
      <c r="L2453" s="30"/>
    </row>
    <row r="2454" spans="12:12" x14ac:dyDescent="0.5">
      <c r="L2454" s="30"/>
    </row>
    <row r="2455" spans="12:12" x14ac:dyDescent="0.5">
      <c r="L2455" s="30"/>
    </row>
    <row r="2456" spans="12:12" x14ac:dyDescent="0.5">
      <c r="L2456" s="30"/>
    </row>
    <row r="2457" spans="12:12" x14ac:dyDescent="0.5">
      <c r="L2457" s="30"/>
    </row>
    <row r="2458" spans="12:12" x14ac:dyDescent="0.5">
      <c r="L2458" s="30"/>
    </row>
    <row r="2459" spans="12:12" x14ac:dyDescent="0.5">
      <c r="L2459" s="30"/>
    </row>
    <row r="2460" spans="12:12" x14ac:dyDescent="0.5">
      <c r="L2460" s="30"/>
    </row>
    <row r="2461" spans="12:12" x14ac:dyDescent="0.5">
      <c r="L2461" s="30"/>
    </row>
    <row r="2462" spans="12:12" x14ac:dyDescent="0.5">
      <c r="L2462" s="30"/>
    </row>
    <row r="2463" spans="12:12" x14ac:dyDescent="0.5">
      <c r="L2463" s="30"/>
    </row>
    <row r="2464" spans="12:12" x14ac:dyDescent="0.5">
      <c r="L2464" s="30"/>
    </row>
    <row r="2465" spans="12:12" x14ac:dyDescent="0.5">
      <c r="L2465" s="30"/>
    </row>
    <row r="2466" spans="12:12" x14ac:dyDescent="0.5">
      <c r="L2466" s="30"/>
    </row>
    <row r="2467" spans="12:12" x14ac:dyDescent="0.5">
      <c r="L2467" s="30"/>
    </row>
    <row r="2468" spans="12:12" x14ac:dyDescent="0.5">
      <c r="L2468" s="30"/>
    </row>
    <row r="2469" spans="12:12" x14ac:dyDescent="0.5">
      <c r="L2469" s="30"/>
    </row>
    <row r="2470" spans="12:12" x14ac:dyDescent="0.5">
      <c r="L2470" s="30"/>
    </row>
    <row r="2471" spans="12:12" x14ac:dyDescent="0.5">
      <c r="L2471" s="30"/>
    </row>
    <row r="2472" spans="12:12" x14ac:dyDescent="0.5">
      <c r="L2472" s="30"/>
    </row>
    <row r="2473" spans="12:12" x14ac:dyDescent="0.5">
      <c r="L2473" s="30"/>
    </row>
    <row r="2474" spans="12:12" x14ac:dyDescent="0.5">
      <c r="L2474" s="30"/>
    </row>
    <row r="2475" spans="12:12" x14ac:dyDescent="0.5">
      <c r="L2475" s="30"/>
    </row>
    <row r="2476" spans="12:12" x14ac:dyDescent="0.5">
      <c r="L2476" s="30"/>
    </row>
    <row r="2477" spans="12:12" x14ac:dyDescent="0.5">
      <c r="L2477" s="30"/>
    </row>
    <row r="2478" spans="12:12" x14ac:dyDescent="0.5">
      <c r="L2478" s="30"/>
    </row>
    <row r="2479" spans="12:12" x14ac:dyDescent="0.5">
      <c r="L2479" s="30"/>
    </row>
    <row r="2480" spans="12:12" x14ac:dyDescent="0.5">
      <c r="L2480" s="30"/>
    </row>
    <row r="2481" spans="12:12" x14ac:dyDescent="0.5">
      <c r="L2481" s="30"/>
    </row>
    <row r="2482" spans="12:12" x14ac:dyDescent="0.5">
      <c r="L2482" s="30"/>
    </row>
    <row r="2483" spans="12:12" x14ac:dyDescent="0.5">
      <c r="L2483" s="30"/>
    </row>
    <row r="2484" spans="12:12" x14ac:dyDescent="0.5">
      <c r="L2484" s="30"/>
    </row>
    <row r="2485" spans="12:12" x14ac:dyDescent="0.5">
      <c r="L2485" s="30"/>
    </row>
    <row r="2486" spans="12:12" x14ac:dyDescent="0.5">
      <c r="L2486" s="30"/>
    </row>
    <row r="2487" spans="12:12" x14ac:dyDescent="0.5">
      <c r="L2487" s="30"/>
    </row>
    <row r="2488" spans="12:12" x14ac:dyDescent="0.5">
      <c r="L2488" s="30"/>
    </row>
    <row r="2489" spans="12:12" x14ac:dyDescent="0.5">
      <c r="L2489" s="30"/>
    </row>
    <row r="2490" spans="12:12" x14ac:dyDescent="0.5">
      <c r="L2490" s="30"/>
    </row>
    <row r="2491" spans="12:12" x14ac:dyDescent="0.5">
      <c r="L2491" s="30"/>
    </row>
    <row r="2492" spans="12:12" x14ac:dyDescent="0.5">
      <c r="L2492" s="30"/>
    </row>
    <row r="2493" spans="12:12" x14ac:dyDescent="0.5">
      <c r="L2493" s="30"/>
    </row>
    <row r="2494" spans="12:12" x14ac:dyDescent="0.5">
      <c r="L2494" s="30"/>
    </row>
    <row r="2495" spans="12:12" x14ac:dyDescent="0.5">
      <c r="L2495" s="30"/>
    </row>
    <row r="2496" spans="12:12" x14ac:dyDescent="0.5">
      <c r="L2496" s="30"/>
    </row>
    <row r="2497" spans="12:12" x14ac:dyDescent="0.5">
      <c r="L2497" s="30"/>
    </row>
    <row r="2498" spans="12:12" x14ac:dyDescent="0.5">
      <c r="L2498" s="30"/>
    </row>
    <row r="2499" spans="12:12" x14ac:dyDescent="0.5">
      <c r="L2499" s="30"/>
    </row>
    <row r="2500" spans="12:12" x14ac:dyDescent="0.5">
      <c r="L2500" s="30"/>
    </row>
    <row r="2501" spans="12:12" x14ac:dyDescent="0.5">
      <c r="L2501" s="30"/>
    </row>
    <row r="2502" spans="12:12" x14ac:dyDescent="0.5">
      <c r="L2502" s="30"/>
    </row>
    <row r="2503" spans="12:12" x14ac:dyDescent="0.5">
      <c r="L2503" s="30"/>
    </row>
    <row r="2504" spans="12:12" x14ac:dyDescent="0.5">
      <c r="L2504" s="30"/>
    </row>
    <row r="2505" spans="12:12" x14ac:dyDescent="0.5">
      <c r="L2505" s="30"/>
    </row>
    <row r="2506" spans="12:12" x14ac:dyDescent="0.5">
      <c r="L2506" s="30"/>
    </row>
    <row r="2507" spans="12:12" x14ac:dyDescent="0.5">
      <c r="L2507" s="30"/>
    </row>
    <row r="2508" spans="12:12" x14ac:dyDescent="0.5">
      <c r="L2508" s="30"/>
    </row>
    <row r="2509" spans="12:12" x14ac:dyDescent="0.5">
      <c r="L2509" s="30"/>
    </row>
    <row r="2510" spans="12:12" x14ac:dyDescent="0.5">
      <c r="L2510" s="30"/>
    </row>
    <row r="2511" spans="12:12" x14ac:dyDescent="0.5">
      <c r="L2511" s="30"/>
    </row>
    <row r="2512" spans="12:12" x14ac:dyDescent="0.5">
      <c r="L2512" s="30"/>
    </row>
    <row r="2513" spans="12:12" x14ac:dyDescent="0.5">
      <c r="L2513" s="30"/>
    </row>
    <row r="2514" spans="12:12" x14ac:dyDescent="0.5">
      <c r="L2514" s="30"/>
    </row>
    <row r="2515" spans="12:12" x14ac:dyDescent="0.5">
      <c r="L2515" s="30"/>
    </row>
    <row r="2516" spans="12:12" x14ac:dyDescent="0.5">
      <c r="L2516" s="30"/>
    </row>
    <row r="2517" spans="12:12" x14ac:dyDescent="0.5">
      <c r="L2517" s="30"/>
    </row>
    <row r="2518" spans="12:12" x14ac:dyDescent="0.5">
      <c r="L2518" s="30"/>
    </row>
    <row r="2519" spans="12:12" x14ac:dyDescent="0.5">
      <c r="L2519" s="30"/>
    </row>
    <row r="2520" spans="12:12" x14ac:dyDescent="0.5">
      <c r="L2520" s="30"/>
    </row>
    <row r="2521" spans="12:12" x14ac:dyDescent="0.5">
      <c r="L2521" s="30"/>
    </row>
    <row r="2522" spans="12:12" x14ac:dyDescent="0.5">
      <c r="L2522" s="30"/>
    </row>
    <row r="2523" spans="12:12" x14ac:dyDescent="0.5">
      <c r="L2523" s="30"/>
    </row>
    <row r="2524" spans="12:12" x14ac:dyDescent="0.5">
      <c r="L2524" s="30"/>
    </row>
    <row r="2525" spans="12:12" x14ac:dyDescent="0.5">
      <c r="L2525" s="30"/>
    </row>
    <row r="2526" spans="12:12" x14ac:dyDescent="0.5">
      <c r="L2526" s="30"/>
    </row>
    <row r="2527" spans="12:12" x14ac:dyDescent="0.5">
      <c r="L2527" s="30"/>
    </row>
    <row r="2528" spans="12:12" x14ac:dyDescent="0.5">
      <c r="L2528" s="30"/>
    </row>
    <row r="2529" spans="12:12" x14ac:dyDescent="0.5">
      <c r="L2529" s="30"/>
    </row>
    <row r="2530" spans="12:12" x14ac:dyDescent="0.5">
      <c r="L2530" s="30"/>
    </row>
    <row r="2531" spans="12:12" x14ac:dyDescent="0.5">
      <c r="L2531" s="30"/>
    </row>
    <row r="2532" spans="12:12" x14ac:dyDescent="0.5">
      <c r="L2532" s="30"/>
    </row>
    <row r="2533" spans="12:12" x14ac:dyDescent="0.5">
      <c r="L2533" s="30"/>
    </row>
    <row r="2534" spans="12:12" x14ac:dyDescent="0.5">
      <c r="L2534" s="30"/>
    </row>
    <row r="2535" spans="12:12" x14ac:dyDescent="0.5">
      <c r="L2535" s="30"/>
    </row>
    <row r="2536" spans="12:12" x14ac:dyDescent="0.5">
      <c r="L2536" s="30"/>
    </row>
    <row r="2537" spans="12:12" x14ac:dyDescent="0.5">
      <c r="L2537" s="30"/>
    </row>
    <row r="2538" spans="12:12" x14ac:dyDescent="0.5">
      <c r="L2538" s="30"/>
    </row>
    <row r="2539" spans="12:12" x14ac:dyDescent="0.5">
      <c r="L2539" s="30"/>
    </row>
    <row r="2540" spans="12:12" x14ac:dyDescent="0.5">
      <c r="L2540" s="30"/>
    </row>
    <row r="2541" spans="12:12" x14ac:dyDescent="0.5">
      <c r="L2541" s="30"/>
    </row>
    <row r="2542" spans="12:12" x14ac:dyDescent="0.5">
      <c r="L2542" s="30"/>
    </row>
    <row r="2543" spans="12:12" x14ac:dyDescent="0.5">
      <c r="L2543" s="30"/>
    </row>
    <row r="2544" spans="12:12" x14ac:dyDescent="0.5">
      <c r="L2544" s="30"/>
    </row>
    <row r="2545" spans="12:12" x14ac:dyDescent="0.5">
      <c r="L2545" s="30"/>
    </row>
    <row r="2546" spans="12:12" x14ac:dyDescent="0.5">
      <c r="L2546" s="30"/>
    </row>
    <row r="2547" spans="12:12" x14ac:dyDescent="0.5">
      <c r="L2547" s="30"/>
    </row>
    <row r="2548" spans="12:12" x14ac:dyDescent="0.5">
      <c r="L2548" s="30"/>
    </row>
    <row r="2549" spans="12:12" x14ac:dyDescent="0.5">
      <c r="L2549" s="30"/>
    </row>
    <row r="2550" spans="12:12" x14ac:dyDescent="0.5">
      <c r="L2550" s="30"/>
    </row>
    <row r="2551" spans="12:12" x14ac:dyDescent="0.5">
      <c r="L2551" s="30"/>
    </row>
    <row r="2552" spans="12:12" x14ac:dyDescent="0.5">
      <c r="L2552" s="30"/>
    </row>
    <row r="2553" spans="12:12" x14ac:dyDescent="0.5">
      <c r="L2553" s="30"/>
    </row>
    <row r="2554" spans="12:12" x14ac:dyDescent="0.5">
      <c r="L2554" s="30"/>
    </row>
    <row r="2555" spans="12:12" x14ac:dyDescent="0.5">
      <c r="L2555" s="30"/>
    </row>
    <row r="2556" spans="12:12" x14ac:dyDescent="0.5">
      <c r="L2556" s="30"/>
    </row>
    <row r="2557" spans="12:12" x14ac:dyDescent="0.5">
      <c r="L2557" s="30"/>
    </row>
    <row r="2558" spans="12:12" x14ac:dyDescent="0.5">
      <c r="L2558" s="30"/>
    </row>
    <row r="2559" spans="12:12" x14ac:dyDescent="0.5">
      <c r="L2559" s="30"/>
    </row>
    <row r="2560" spans="12:12" x14ac:dyDescent="0.5">
      <c r="L2560" s="30"/>
    </row>
    <row r="2561" spans="12:12" x14ac:dyDescent="0.5">
      <c r="L2561" s="30"/>
    </row>
    <row r="2562" spans="12:12" x14ac:dyDescent="0.5">
      <c r="L2562" s="30"/>
    </row>
    <row r="2563" spans="12:12" x14ac:dyDescent="0.5">
      <c r="L2563" s="30"/>
    </row>
    <row r="2564" spans="12:12" x14ac:dyDescent="0.5">
      <c r="L2564" s="30"/>
    </row>
    <row r="2565" spans="12:12" x14ac:dyDescent="0.5">
      <c r="L2565" s="30"/>
    </row>
    <row r="2566" spans="12:12" x14ac:dyDescent="0.5">
      <c r="L2566" s="30"/>
    </row>
    <row r="2567" spans="12:12" x14ac:dyDescent="0.5">
      <c r="L2567" s="30"/>
    </row>
    <row r="2568" spans="12:12" x14ac:dyDescent="0.5">
      <c r="L2568" s="30"/>
    </row>
    <row r="2569" spans="12:12" x14ac:dyDescent="0.5">
      <c r="L2569" s="30"/>
    </row>
    <row r="2570" spans="12:12" x14ac:dyDescent="0.5">
      <c r="L2570" s="30"/>
    </row>
    <row r="2571" spans="12:12" x14ac:dyDescent="0.5">
      <c r="L2571" s="30"/>
    </row>
    <row r="2572" spans="12:12" x14ac:dyDescent="0.5">
      <c r="L2572" s="30"/>
    </row>
    <row r="2573" spans="12:12" x14ac:dyDescent="0.5">
      <c r="L2573" s="30"/>
    </row>
    <row r="2574" spans="12:12" x14ac:dyDescent="0.5">
      <c r="L2574" s="30"/>
    </row>
    <row r="2575" spans="12:12" x14ac:dyDescent="0.5">
      <c r="L2575" s="30"/>
    </row>
    <row r="2576" spans="12:12" x14ac:dyDescent="0.5">
      <c r="L2576" s="30"/>
    </row>
    <row r="2577" spans="12:12" x14ac:dyDescent="0.5">
      <c r="L2577" s="30"/>
    </row>
    <row r="2578" spans="12:12" x14ac:dyDescent="0.5">
      <c r="L2578" s="30"/>
    </row>
    <row r="2579" spans="12:12" x14ac:dyDescent="0.5">
      <c r="L2579" s="30"/>
    </row>
    <row r="2580" spans="12:12" x14ac:dyDescent="0.5">
      <c r="L2580" s="30"/>
    </row>
    <row r="2581" spans="12:12" x14ac:dyDescent="0.5">
      <c r="L2581" s="30"/>
    </row>
    <row r="2582" spans="12:12" x14ac:dyDescent="0.5">
      <c r="L2582" s="30"/>
    </row>
    <row r="2583" spans="12:12" x14ac:dyDescent="0.5">
      <c r="L2583" s="30"/>
    </row>
    <row r="2584" spans="12:12" x14ac:dyDescent="0.5">
      <c r="L2584" s="30"/>
    </row>
    <row r="2585" spans="12:12" x14ac:dyDescent="0.5">
      <c r="L2585" s="30"/>
    </row>
    <row r="2586" spans="12:12" x14ac:dyDescent="0.5">
      <c r="L2586" s="30"/>
    </row>
    <row r="2587" spans="12:12" x14ac:dyDescent="0.5">
      <c r="L2587" s="30"/>
    </row>
    <row r="2588" spans="12:12" x14ac:dyDescent="0.5">
      <c r="L2588" s="30"/>
    </row>
    <row r="2589" spans="12:12" x14ac:dyDescent="0.5">
      <c r="L2589" s="30"/>
    </row>
    <row r="2590" spans="12:12" x14ac:dyDescent="0.5">
      <c r="L2590" s="30"/>
    </row>
    <row r="2591" spans="12:12" x14ac:dyDescent="0.5">
      <c r="L2591" s="30"/>
    </row>
    <row r="2592" spans="12:12" x14ac:dyDescent="0.5">
      <c r="L2592" s="30"/>
    </row>
    <row r="2593" spans="12:12" x14ac:dyDescent="0.5">
      <c r="L2593" s="30"/>
    </row>
    <row r="2594" spans="12:12" x14ac:dyDescent="0.5">
      <c r="L2594" s="30"/>
    </row>
    <row r="2595" spans="12:12" x14ac:dyDescent="0.5">
      <c r="L2595" s="30"/>
    </row>
    <row r="2596" spans="12:12" x14ac:dyDescent="0.5">
      <c r="L2596" s="30"/>
    </row>
    <row r="2597" spans="12:12" x14ac:dyDescent="0.5">
      <c r="L2597" s="30"/>
    </row>
    <row r="2598" spans="12:12" x14ac:dyDescent="0.5">
      <c r="L2598" s="30"/>
    </row>
    <row r="2599" spans="12:12" x14ac:dyDescent="0.5">
      <c r="L2599" s="30"/>
    </row>
    <row r="2600" spans="12:12" x14ac:dyDescent="0.5">
      <c r="L2600" s="30"/>
    </row>
    <row r="2601" spans="12:12" x14ac:dyDescent="0.5">
      <c r="L2601" s="30"/>
    </row>
    <row r="2602" spans="12:12" x14ac:dyDescent="0.5">
      <c r="L2602" s="30"/>
    </row>
    <row r="2603" spans="12:12" x14ac:dyDescent="0.5">
      <c r="L2603" s="30"/>
    </row>
    <row r="2604" spans="12:12" x14ac:dyDescent="0.5">
      <c r="L2604" s="30"/>
    </row>
    <row r="2605" spans="12:12" x14ac:dyDescent="0.5">
      <c r="L2605" s="30"/>
    </row>
    <row r="2606" spans="12:12" x14ac:dyDescent="0.5">
      <c r="L2606" s="30"/>
    </row>
    <row r="2607" spans="12:12" x14ac:dyDescent="0.5">
      <c r="L2607" s="30"/>
    </row>
    <row r="2608" spans="12:12" x14ac:dyDescent="0.5">
      <c r="L2608" s="30"/>
    </row>
    <row r="2609" spans="12:12" x14ac:dyDescent="0.5">
      <c r="L2609" s="30"/>
    </row>
    <row r="2610" spans="12:12" x14ac:dyDescent="0.5">
      <c r="L2610" s="30"/>
    </row>
    <row r="2611" spans="12:12" x14ac:dyDescent="0.5">
      <c r="L2611" s="30"/>
    </row>
    <row r="2612" spans="12:12" x14ac:dyDescent="0.5">
      <c r="L2612" s="30"/>
    </row>
    <row r="2613" spans="12:12" x14ac:dyDescent="0.5">
      <c r="L2613" s="30"/>
    </row>
    <row r="2614" spans="12:12" x14ac:dyDescent="0.5">
      <c r="L2614" s="30"/>
    </row>
    <row r="2615" spans="12:12" x14ac:dyDescent="0.5">
      <c r="L2615" s="30"/>
    </row>
    <row r="2616" spans="12:12" x14ac:dyDescent="0.5">
      <c r="L2616" s="30"/>
    </row>
    <row r="2617" spans="12:12" x14ac:dyDescent="0.5">
      <c r="L2617" s="30"/>
    </row>
    <row r="2618" spans="12:12" x14ac:dyDescent="0.5">
      <c r="L2618" s="30"/>
    </row>
    <row r="2619" spans="12:12" x14ac:dyDescent="0.5">
      <c r="L2619" s="30"/>
    </row>
    <row r="2620" spans="12:12" x14ac:dyDescent="0.5">
      <c r="L2620" s="30"/>
    </row>
    <row r="2621" spans="12:12" x14ac:dyDescent="0.5">
      <c r="L2621" s="30"/>
    </row>
    <row r="2622" spans="12:12" x14ac:dyDescent="0.5">
      <c r="L2622" s="30"/>
    </row>
    <row r="2623" spans="12:12" x14ac:dyDescent="0.5">
      <c r="L2623" s="30"/>
    </row>
    <row r="2624" spans="12:12" x14ac:dyDescent="0.5">
      <c r="L2624" s="30"/>
    </row>
    <row r="2625" spans="12:12" x14ac:dyDescent="0.5">
      <c r="L2625" s="30"/>
    </row>
    <row r="2626" spans="12:12" x14ac:dyDescent="0.5">
      <c r="L2626" s="30"/>
    </row>
    <row r="2627" spans="12:12" x14ac:dyDescent="0.5">
      <c r="L2627" s="30"/>
    </row>
    <row r="2628" spans="12:12" x14ac:dyDescent="0.5">
      <c r="L2628" s="30"/>
    </row>
    <row r="2629" spans="12:12" x14ac:dyDescent="0.5">
      <c r="L2629" s="30"/>
    </row>
    <row r="2630" spans="12:12" x14ac:dyDescent="0.5">
      <c r="L2630" s="30"/>
    </row>
    <row r="2631" spans="12:12" x14ac:dyDescent="0.5">
      <c r="L2631" s="30"/>
    </row>
    <row r="2632" spans="12:12" x14ac:dyDescent="0.5">
      <c r="L2632" s="30"/>
    </row>
    <row r="2633" spans="12:12" x14ac:dyDescent="0.5">
      <c r="L2633" s="30"/>
    </row>
    <row r="2634" spans="12:12" x14ac:dyDescent="0.5">
      <c r="L2634" s="30"/>
    </row>
    <row r="2635" spans="12:12" x14ac:dyDescent="0.5">
      <c r="L2635" s="30"/>
    </row>
    <row r="2636" spans="12:12" x14ac:dyDescent="0.5">
      <c r="L2636" s="30"/>
    </row>
    <row r="2637" spans="12:12" x14ac:dyDescent="0.5">
      <c r="L2637" s="30"/>
    </row>
    <row r="2638" spans="12:12" x14ac:dyDescent="0.5">
      <c r="L2638" s="30"/>
    </row>
    <row r="2639" spans="12:12" x14ac:dyDescent="0.5">
      <c r="L2639" s="30"/>
    </row>
    <row r="2640" spans="12:12" x14ac:dyDescent="0.5">
      <c r="L2640" s="30"/>
    </row>
    <row r="2641" spans="12:12" x14ac:dyDescent="0.5">
      <c r="L2641" s="30"/>
    </row>
    <row r="2642" spans="12:12" x14ac:dyDescent="0.5">
      <c r="L2642" s="30"/>
    </row>
    <row r="2643" spans="12:12" x14ac:dyDescent="0.5">
      <c r="L2643" s="30"/>
    </row>
    <row r="2644" spans="12:12" x14ac:dyDescent="0.5">
      <c r="L2644" s="30"/>
    </row>
    <row r="2645" spans="12:12" x14ac:dyDescent="0.5">
      <c r="L2645" s="30"/>
    </row>
    <row r="2646" spans="12:12" x14ac:dyDescent="0.5">
      <c r="L2646" s="30"/>
    </row>
    <row r="2647" spans="12:12" x14ac:dyDescent="0.5">
      <c r="L2647" s="30"/>
    </row>
    <row r="2648" spans="12:12" x14ac:dyDescent="0.5">
      <c r="L2648" s="30"/>
    </row>
    <row r="2649" spans="12:12" x14ac:dyDescent="0.5">
      <c r="L2649" s="30"/>
    </row>
    <row r="2650" spans="12:12" x14ac:dyDescent="0.5">
      <c r="L2650" s="30"/>
    </row>
    <row r="2651" spans="12:12" x14ac:dyDescent="0.5">
      <c r="L2651" s="30"/>
    </row>
    <row r="2652" spans="12:12" x14ac:dyDescent="0.5">
      <c r="L2652" s="30"/>
    </row>
    <row r="2653" spans="12:12" x14ac:dyDescent="0.5">
      <c r="L2653" s="30"/>
    </row>
    <row r="2654" spans="12:12" x14ac:dyDescent="0.5">
      <c r="L2654" s="30"/>
    </row>
    <row r="2655" spans="12:12" x14ac:dyDescent="0.5">
      <c r="L2655" s="30"/>
    </row>
    <row r="2656" spans="12:12" x14ac:dyDescent="0.5">
      <c r="L2656" s="30"/>
    </row>
    <row r="2657" spans="12:12" x14ac:dyDescent="0.5">
      <c r="L2657" s="30"/>
    </row>
    <row r="2658" spans="12:12" x14ac:dyDescent="0.5">
      <c r="L2658" s="30"/>
    </row>
    <row r="2659" spans="12:12" x14ac:dyDescent="0.5">
      <c r="L2659" s="30"/>
    </row>
    <row r="2660" spans="12:12" x14ac:dyDescent="0.5">
      <c r="L2660" s="30"/>
    </row>
    <row r="2661" spans="12:12" x14ac:dyDescent="0.5">
      <c r="L2661" s="30"/>
    </row>
    <row r="2662" spans="12:12" x14ac:dyDescent="0.5">
      <c r="L2662" s="30"/>
    </row>
    <row r="2663" spans="12:12" x14ac:dyDescent="0.5">
      <c r="L2663" s="30"/>
    </row>
    <row r="2664" spans="12:12" x14ac:dyDescent="0.5">
      <c r="L2664" s="30"/>
    </row>
    <row r="2665" spans="12:12" x14ac:dyDescent="0.5">
      <c r="L2665" s="30"/>
    </row>
    <row r="2666" spans="12:12" x14ac:dyDescent="0.5">
      <c r="L2666" s="30"/>
    </row>
    <row r="2667" spans="12:12" x14ac:dyDescent="0.5">
      <c r="L2667" s="30"/>
    </row>
    <row r="2668" spans="12:12" x14ac:dyDescent="0.5">
      <c r="L2668" s="30"/>
    </row>
    <row r="2669" spans="12:12" x14ac:dyDescent="0.5">
      <c r="L2669" s="30"/>
    </row>
    <row r="2670" spans="12:12" x14ac:dyDescent="0.5">
      <c r="L2670" s="30"/>
    </row>
    <row r="2671" spans="12:12" x14ac:dyDescent="0.5">
      <c r="L2671" s="30"/>
    </row>
    <row r="2672" spans="12:12" x14ac:dyDescent="0.5">
      <c r="L2672" s="30"/>
    </row>
    <row r="2673" spans="12:12" x14ac:dyDescent="0.5">
      <c r="L2673" s="30"/>
    </row>
    <row r="2674" spans="12:12" x14ac:dyDescent="0.5">
      <c r="L2674" s="30"/>
    </row>
    <row r="2675" spans="12:12" x14ac:dyDescent="0.5">
      <c r="L2675" s="30"/>
    </row>
    <row r="2676" spans="12:12" x14ac:dyDescent="0.5">
      <c r="L2676" s="30"/>
    </row>
    <row r="2677" spans="12:12" x14ac:dyDescent="0.5">
      <c r="L2677" s="30"/>
    </row>
    <row r="2678" spans="12:12" x14ac:dyDescent="0.5">
      <c r="L2678" s="30"/>
    </row>
    <row r="2679" spans="12:12" x14ac:dyDescent="0.5">
      <c r="L2679" s="30"/>
    </row>
    <row r="2680" spans="12:12" x14ac:dyDescent="0.5">
      <c r="L2680" s="30"/>
    </row>
    <row r="2681" spans="12:12" x14ac:dyDescent="0.5">
      <c r="L2681" s="30"/>
    </row>
    <row r="2682" spans="12:12" x14ac:dyDescent="0.5">
      <c r="L2682" s="30"/>
    </row>
    <row r="2683" spans="12:12" x14ac:dyDescent="0.5">
      <c r="L2683" s="30"/>
    </row>
    <row r="2684" spans="12:12" x14ac:dyDescent="0.5">
      <c r="L2684" s="30"/>
    </row>
    <row r="2685" spans="12:12" x14ac:dyDescent="0.5">
      <c r="L2685" s="30"/>
    </row>
    <row r="2686" spans="12:12" x14ac:dyDescent="0.5">
      <c r="L2686" s="30"/>
    </row>
    <row r="2687" spans="12:12" x14ac:dyDescent="0.5">
      <c r="L2687" s="30"/>
    </row>
    <row r="2688" spans="12:12" x14ac:dyDescent="0.5">
      <c r="L2688" s="30"/>
    </row>
    <row r="2689" spans="12:12" x14ac:dyDescent="0.5">
      <c r="L2689" s="30"/>
    </row>
    <row r="2690" spans="12:12" x14ac:dyDescent="0.5">
      <c r="L2690" s="30"/>
    </row>
    <row r="2691" spans="12:12" x14ac:dyDescent="0.5">
      <c r="L2691" s="30"/>
    </row>
    <row r="2692" spans="12:12" x14ac:dyDescent="0.5">
      <c r="L2692" s="30"/>
    </row>
    <row r="2693" spans="12:12" x14ac:dyDescent="0.5">
      <c r="L2693" s="30"/>
    </row>
    <row r="2694" spans="12:12" x14ac:dyDescent="0.5">
      <c r="L2694" s="30"/>
    </row>
    <row r="2695" spans="12:12" x14ac:dyDescent="0.5">
      <c r="L2695" s="30"/>
    </row>
    <row r="2696" spans="12:12" x14ac:dyDescent="0.5">
      <c r="L2696" s="30"/>
    </row>
    <row r="2697" spans="12:12" x14ac:dyDescent="0.5">
      <c r="L2697" s="30"/>
    </row>
    <row r="2698" spans="12:12" x14ac:dyDescent="0.5">
      <c r="L2698" s="30"/>
    </row>
    <row r="2699" spans="12:12" x14ac:dyDescent="0.5">
      <c r="L2699" s="30"/>
    </row>
    <row r="2700" spans="12:12" x14ac:dyDescent="0.5">
      <c r="L2700" s="30"/>
    </row>
    <row r="2701" spans="12:12" x14ac:dyDescent="0.5">
      <c r="L2701" s="30"/>
    </row>
    <row r="2702" spans="12:12" x14ac:dyDescent="0.5">
      <c r="L2702" s="30"/>
    </row>
    <row r="2703" spans="12:12" x14ac:dyDescent="0.5">
      <c r="L2703" s="30"/>
    </row>
    <row r="2704" spans="12:12" x14ac:dyDescent="0.5">
      <c r="L2704" s="30"/>
    </row>
    <row r="2705" spans="12:12" x14ac:dyDescent="0.5">
      <c r="L2705" s="30"/>
    </row>
    <row r="2706" spans="12:12" x14ac:dyDescent="0.5">
      <c r="L2706" s="30"/>
    </row>
    <row r="2707" spans="12:12" x14ac:dyDescent="0.5">
      <c r="L2707" s="30"/>
    </row>
    <row r="2708" spans="12:12" x14ac:dyDescent="0.5">
      <c r="L2708" s="30"/>
    </row>
    <row r="2709" spans="12:12" x14ac:dyDescent="0.5">
      <c r="L2709" s="30"/>
    </row>
    <row r="2710" spans="12:12" x14ac:dyDescent="0.5">
      <c r="L2710" s="30"/>
    </row>
    <row r="2711" spans="12:12" x14ac:dyDescent="0.5">
      <c r="L2711" s="30"/>
    </row>
    <row r="2712" spans="12:12" x14ac:dyDescent="0.5">
      <c r="L2712" s="30"/>
    </row>
    <row r="2713" spans="12:12" x14ac:dyDescent="0.5">
      <c r="L2713" s="30"/>
    </row>
    <row r="2714" spans="12:12" x14ac:dyDescent="0.5">
      <c r="L2714" s="30"/>
    </row>
    <row r="2715" spans="12:12" x14ac:dyDescent="0.5">
      <c r="L2715" s="30"/>
    </row>
    <row r="2716" spans="12:12" x14ac:dyDescent="0.5">
      <c r="L2716" s="30"/>
    </row>
    <row r="2717" spans="12:12" x14ac:dyDescent="0.5">
      <c r="L2717" s="30"/>
    </row>
    <row r="2718" spans="12:12" x14ac:dyDescent="0.5">
      <c r="L2718" s="30"/>
    </row>
    <row r="2719" spans="12:12" x14ac:dyDescent="0.5">
      <c r="L2719" s="30"/>
    </row>
    <row r="2720" spans="12:12" x14ac:dyDescent="0.5">
      <c r="L2720" s="30"/>
    </row>
    <row r="2721" spans="12:12" x14ac:dyDescent="0.5">
      <c r="L2721" s="30"/>
    </row>
    <row r="2722" spans="12:12" x14ac:dyDescent="0.5">
      <c r="L2722" s="30"/>
    </row>
    <row r="2723" spans="12:12" x14ac:dyDescent="0.5">
      <c r="L2723" s="30"/>
    </row>
    <row r="2724" spans="12:12" x14ac:dyDescent="0.5">
      <c r="L2724" s="30"/>
    </row>
    <row r="2725" spans="12:12" x14ac:dyDescent="0.5">
      <c r="L2725" s="30"/>
    </row>
    <row r="2726" spans="12:12" x14ac:dyDescent="0.5">
      <c r="L2726" s="30"/>
    </row>
    <row r="2727" spans="12:12" x14ac:dyDescent="0.5">
      <c r="L2727" s="30"/>
    </row>
    <row r="2728" spans="12:12" x14ac:dyDescent="0.5">
      <c r="L2728" s="30"/>
    </row>
    <row r="2729" spans="12:12" x14ac:dyDescent="0.5">
      <c r="L2729" s="30"/>
    </row>
    <row r="2730" spans="12:12" x14ac:dyDescent="0.5">
      <c r="L2730" s="30"/>
    </row>
    <row r="2731" spans="12:12" x14ac:dyDescent="0.5">
      <c r="L2731" s="30"/>
    </row>
    <row r="2732" spans="12:12" x14ac:dyDescent="0.5">
      <c r="L2732" s="30"/>
    </row>
    <row r="2733" spans="12:12" x14ac:dyDescent="0.5">
      <c r="L2733" s="30"/>
    </row>
    <row r="2734" spans="12:12" x14ac:dyDescent="0.5">
      <c r="L2734" s="30"/>
    </row>
    <row r="2735" spans="12:12" x14ac:dyDescent="0.5">
      <c r="L2735" s="30"/>
    </row>
    <row r="2736" spans="12:12" x14ac:dyDescent="0.5">
      <c r="L2736" s="30"/>
    </row>
    <row r="2737" spans="12:12" x14ac:dyDescent="0.5">
      <c r="L2737" s="30"/>
    </row>
    <row r="2738" spans="12:12" x14ac:dyDescent="0.5">
      <c r="L2738" s="30"/>
    </row>
    <row r="2739" spans="12:12" x14ac:dyDescent="0.5">
      <c r="L2739" s="30"/>
    </row>
    <row r="2740" spans="12:12" x14ac:dyDescent="0.5">
      <c r="L2740" s="30"/>
    </row>
    <row r="2741" spans="12:12" x14ac:dyDescent="0.5">
      <c r="L2741" s="30"/>
    </row>
    <row r="2742" spans="12:12" x14ac:dyDescent="0.5">
      <c r="L2742" s="30"/>
    </row>
    <row r="2743" spans="12:12" x14ac:dyDescent="0.5">
      <c r="L2743" s="30"/>
    </row>
    <row r="2744" spans="12:12" x14ac:dyDescent="0.5">
      <c r="L2744" s="30"/>
    </row>
    <row r="2745" spans="12:12" x14ac:dyDescent="0.5">
      <c r="L2745" s="30"/>
    </row>
    <row r="2746" spans="12:12" x14ac:dyDescent="0.5">
      <c r="L2746" s="30"/>
    </row>
    <row r="2747" spans="12:12" x14ac:dyDescent="0.5">
      <c r="L2747" s="30"/>
    </row>
    <row r="2748" spans="12:12" x14ac:dyDescent="0.5">
      <c r="L2748" s="30"/>
    </row>
    <row r="2749" spans="12:12" x14ac:dyDescent="0.5">
      <c r="L2749" s="30"/>
    </row>
    <row r="2750" spans="12:12" x14ac:dyDescent="0.5">
      <c r="L2750" s="30"/>
    </row>
    <row r="2751" spans="12:12" x14ac:dyDescent="0.5">
      <c r="L2751" s="30"/>
    </row>
    <row r="2752" spans="12:12" x14ac:dyDescent="0.5">
      <c r="L2752" s="30"/>
    </row>
    <row r="2753" spans="12:12" x14ac:dyDescent="0.5">
      <c r="L2753" s="30"/>
    </row>
    <row r="2754" spans="12:12" x14ac:dyDescent="0.5">
      <c r="L2754" s="30"/>
    </row>
    <row r="2755" spans="12:12" x14ac:dyDescent="0.5">
      <c r="L2755" s="30"/>
    </row>
    <row r="2756" spans="12:12" x14ac:dyDescent="0.5">
      <c r="L2756" s="30"/>
    </row>
    <row r="2757" spans="12:12" x14ac:dyDescent="0.5">
      <c r="L2757" s="30"/>
    </row>
    <row r="2758" spans="12:12" x14ac:dyDescent="0.5">
      <c r="L2758" s="30"/>
    </row>
    <row r="2759" spans="12:12" x14ac:dyDescent="0.5">
      <c r="L2759" s="30"/>
    </row>
    <row r="2760" spans="12:12" x14ac:dyDescent="0.5">
      <c r="L2760" s="30"/>
    </row>
    <row r="2761" spans="12:12" x14ac:dyDescent="0.5">
      <c r="L2761" s="30"/>
    </row>
    <row r="2762" spans="12:12" x14ac:dyDescent="0.5">
      <c r="L2762" s="30"/>
    </row>
    <row r="2763" spans="12:12" x14ac:dyDescent="0.5">
      <c r="L2763" s="30"/>
    </row>
    <row r="2764" spans="12:12" x14ac:dyDescent="0.5">
      <c r="L2764" s="30"/>
    </row>
    <row r="2765" spans="12:12" x14ac:dyDescent="0.5">
      <c r="L2765" s="30"/>
    </row>
    <row r="2766" spans="12:12" x14ac:dyDescent="0.5">
      <c r="L2766" s="30"/>
    </row>
    <row r="2767" spans="12:12" x14ac:dyDescent="0.5">
      <c r="L2767" s="30"/>
    </row>
    <row r="2768" spans="12:12" x14ac:dyDescent="0.5">
      <c r="L2768" s="30"/>
    </row>
    <row r="2769" spans="12:12" x14ac:dyDescent="0.5">
      <c r="L2769" s="30"/>
    </row>
    <row r="2770" spans="12:12" x14ac:dyDescent="0.5">
      <c r="L2770" s="30"/>
    </row>
    <row r="2771" spans="12:12" x14ac:dyDescent="0.5">
      <c r="L2771" s="30"/>
    </row>
    <row r="2772" spans="12:12" x14ac:dyDescent="0.5">
      <c r="L2772" s="30"/>
    </row>
    <row r="2773" spans="12:12" x14ac:dyDescent="0.5">
      <c r="L2773" s="30"/>
    </row>
    <row r="2774" spans="12:12" x14ac:dyDescent="0.5">
      <c r="L2774" s="30"/>
    </row>
    <row r="2775" spans="12:12" x14ac:dyDescent="0.5">
      <c r="L2775" s="30"/>
    </row>
    <row r="2776" spans="12:12" x14ac:dyDescent="0.5">
      <c r="L2776" s="30"/>
    </row>
    <row r="2777" spans="12:12" x14ac:dyDescent="0.5">
      <c r="L2777" s="30"/>
    </row>
    <row r="2778" spans="12:12" x14ac:dyDescent="0.5">
      <c r="L2778" s="30"/>
    </row>
    <row r="2779" spans="12:12" x14ac:dyDescent="0.5">
      <c r="L2779" s="30"/>
    </row>
    <row r="2780" spans="12:12" x14ac:dyDescent="0.5">
      <c r="L2780" s="30"/>
    </row>
    <row r="2781" spans="12:12" x14ac:dyDescent="0.5">
      <c r="L2781" s="30"/>
    </row>
    <row r="2782" spans="12:12" x14ac:dyDescent="0.5">
      <c r="L2782" s="30"/>
    </row>
    <row r="2783" spans="12:12" x14ac:dyDescent="0.5">
      <c r="L2783" s="30"/>
    </row>
    <row r="2784" spans="12:12" x14ac:dyDescent="0.5">
      <c r="L2784" s="30"/>
    </row>
    <row r="2785" spans="12:12" x14ac:dyDescent="0.5">
      <c r="L2785" s="30"/>
    </row>
    <row r="2786" spans="12:12" x14ac:dyDescent="0.5">
      <c r="L2786" s="30"/>
    </row>
    <row r="2787" spans="12:12" x14ac:dyDescent="0.5">
      <c r="L2787" s="30"/>
    </row>
    <row r="2788" spans="12:12" x14ac:dyDescent="0.5">
      <c r="L2788" s="30"/>
    </row>
    <row r="2789" spans="12:12" x14ac:dyDescent="0.5">
      <c r="L2789" s="30"/>
    </row>
    <row r="2790" spans="12:12" x14ac:dyDescent="0.5">
      <c r="L2790" s="30"/>
    </row>
    <row r="2791" spans="12:12" x14ac:dyDescent="0.5">
      <c r="L2791" s="30"/>
    </row>
    <row r="2792" spans="12:12" x14ac:dyDescent="0.5">
      <c r="L2792" s="30"/>
    </row>
    <row r="2793" spans="12:12" x14ac:dyDescent="0.5">
      <c r="L2793" s="30"/>
    </row>
    <row r="2794" spans="12:12" x14ac:dyDescent="0.5">
      <c r="L2794" s="30"/>
    </row>
    <row r="2795" spans="12:12" x14ac:dyDescent="0.5">
      <c r="L2795" s="30"/>
    </row>
    <row r="2796" spans="12:12" x14ac:dyDescent="0.5">
      <c r="L2796" s="30"/>
    </row>
    <row r="2797" spans="12:12" x14ac:dyDescent="0.5">
      <c r="L2797" s="30"/>
    </row>
    <row r="2798" spans="12:12" x14ac:dyDescent="0.5">
      <c r="L2798" s="30"/>
    </row>
    <row r="2799" spans="12:12" x14ac:dyDescent="0.5">
      <c r="L2799" s="30"/>
    </row>
    <row r="2800" spans="12:12" x14ac:dyDescent="0.5">
      <c r="L2800" s="30"/>
    </row>
    <row r="2801" spans="12:12" x14ac:dyDescent="0.5">
      <c r="L2801" s="30"/>
    </row>
    <row r="2802" spans="12:12" x14ac:dyDescent="0.5">
      <c r="L2802" s="30"/>
    </row>
    <row r="2803" spans="12:12" x14ac:dyDescent="0.5">
      <c r="L2803" s="30"/>
    </row>
    <row r="2804" spans="12:12" x14ac:dyDescent="0.5">
      <c r="L2804" s="30"/>
    </row>
    <row r="2805" spans="12:12" x14ac:dyDescent="0.5">
      <c r="L2805" s="30"/>
    </row>
    <row r="2806" spans="12:12" x14ac:dyDescent="0.5">
      <c r="L2806" s="30"/>
    </row>
    <row r="2807" spans="12:12" x14ac:dyDescent="0.5">
      <c r="L2807" s="30"/>
    </row>
    <row r="2808" spans="12:12" x14ac:dyDescent="0.5">
      <c r="L2808" s="30"/>
    </row>
    <row r="2809" spans="12:12" x14ac:dyDescent="0.5">
      <c r="L2809" s="30"/>
    </row>
    <row r="2810" spans="12:12" x14ac:dyDescent="0.5">
      <c r="L2810" s="30"/>
    </row>
    <row r="2811" spans="12:12" x14ac:dyDescent="0.5">
      <c r="L2811" s="30"/>
    </row>
    <row r="2812" spans="12:12" x14ac:dyDescent="0.5">
      <c r="L2812" s="30"/>
    </row>
    <row r="2813" spans="12:12" x14ac:dyDescent="0.5">
      <c r="L2813" s="30"/>
    </row>
    <row r="2814" spans="12:12" x14ac:dyDescent="0.5">
      <c r="L2814" s="30"/>
    </row>
    <row r="2815" spans="12:12" x14ac:dyDescent="0.5">
      <c r="L2815" s="30"/>
    </row>
    <row r="2816" spans="12:12" x14ac:dyDescent="0.5">
      <c r="L2816" s="30"/>
    </row>
    <row r="2817" spans="12:12" x14ac:dyDescent="0.5">
      <c r="L2817" s="30"/>
    </row>
    <row r="2818" spans="12:12" x14ac:dyDescent="0.5">
      <c r="L2818" s="30"/>
    </row>
    <row r="2819" spans="12:12" x14ac:dyDescent="0.5">
      <c r="L2819" s="30"/>
    </row>
    <row r="2820" spans="12:12" x14ac:dyDescent="0.5">
      <c r="L2820" s="30"/>
    </row>
    <row r="2821" spans="12:12" x14ac:dyDescent="0.5">
      <c r="L2821" s="30"/>
    </row>
    <row r="2822" spans="12:12" x14ac:dyDescent="0.5">
      <c r="L2822" s="30"/>
    </row>
    <row r="2823" spans="12:12" x14ac:dyDescent="0.5">
      <c r="L2823" s="30"/>
    </row>
    <row r="2824" spans="12:12" x14ac:dyDescent="0.5">
      <c r="L2824" s="30"/>
    </row>
    <row r="2825" spans="12:12" x14ac:dyDescent="0.5">
      <c r="L2825" s="30"/>
    </row>
    <row r="2826" spans="12:12" x14ac:dyDescent="0.5">
      <c r="L2826" s="30"/>
    </row>
    <row r="2827" spans="12:12" x14ac:dyDescent="0.5">
      <c r="L2827" s="30"/>
    </row>
    <row r="2828" spans="12:12" x14ac:dyDescent="0.5">
      <c r="L2828" s="30"/>
    </row>
    <row r="2829" spans="12:12" x14ac:dyDescent="0.5">
      <c r="L2829" s="30"/>
    </row>
    <row r="2830" spans="12:12" x14ac:dyDescent="0.5">
      <c r="L2830" s="30"/>
    </row>
    <row r="2831" spans="12:12" x14ac:dyDescent="0.5">
      <c r="L2831" s="30"/>
    </row>
    <row r="2832" spans="12:12" x14ac:dyDescent="0.5">
      <c r="L2832" s="30"/>
    </row>
    <row r="2833" spans="12:12" x14ac:dyDescent="0.5">
      <c r="L2833" s="30"/>
    </row>
    <row r="2834" spans="12:12" x14ac:dyDescent="0.5">
      <c r="L2834" s="30"/>
    </row>
    <row r="2835" spans="12:12" x14ac:dyDescent="0.5">
      <c r="L2835" s="30"/>
    </row>
    <row r="2836" spans="12:12" x14ac:dyDescent="0.5">
      <c r="L2836" s="30"/>
    </row>
    <row r="2837" spans="12:12" x14ac:dyDescent="0.5">
      <c r="L2837" s="30"/>
    </row>
    <row r="2838" spans="12:12" x14ac:dyDescent="0.5">
      <c r="L2838" s="30"/>
    </row>
    <row r="2839" spans="12:12" x14ac:dyDescent="0.5">
      <c r="L2839" s="30"/>
    </row>
    <row r="2840" spans="12:12" x14ac:dyDescent="0.5">
      <c r="L2840" s="30"/>
    </row>
    <row r="2841" spans="12:12" x14ac:dyDescent="0.5">
      <c r="L2841" s="30"/>
    </row>
    <row r="2842" spans="12:12" x14ac:dyDescent="0.5">
      <c r="L2842" s="30"/>
    </row>
    <row r="2843" spans="12:12" x14ac:dyDescent="0.5">
      <c r="L2843" s="30"/>
    </row>
    <row r="2844" spans="12:12" x14ac:dyDescent="0.5">
      <c r="L2844" s="30"/>
    </row>
    <row r="2845" spans="12:12" x14ac:dyDescent="0.5">
      <c r="L2845" s="30"/>
    </row>
    <row r="2846" spans="12:12" x14ac:dyDescent="0.5">
      <c r="L2846" s="30"/>
    </row>
    <row r="2847" spans="12:12" x14ac:dyDescent="0.5">
      <c r="L2847" s="30"/>
    </row>
    <row r="2848" spans="12:12" x14ac:dyDescent="0.5">
      <c r="L2848" s="30"/>
    </row>
    <row r="2849" spans="12:12" x14ac:dyDescent="0.5">
      <c r="L2849" s="30"/>
    </row>
    <row r="2850" spans="12:12" x14ac:dyDescent="0.5">
      <c r="L2850" s="30"/>
    </row>
    <row r="2851" spans="12:12" x14ac:dyDescent="0.5">
      <c r="L2851" s="30"/>
    </row>
    <row r="2852" spans="12:12" x14ac:dyDescent="0.5">
      <c r="L2852" s="30"/>
    </row>
    <row r="2853" spans="12:12" x14ac:dyDescent="0.5">
      <c r="L2853" s="30"/>
    </row>
    <row r="2854" spans="12:12" x14ac:dyDescent="0.5">
      <c r="L2854" s="30"/>
    </row>
    <row r="2855" spans="12:12" x14ac:dyDescent="0.5">
      <c r="L2855" s="30"/>
    </row>
    <row r="2856" spans="12:12" x14ac:dyDescent="0.5">
      <c r="L2856" s="30"/>
    </row>
    <row r="2857" spans="12:12" x14ac:dyDescent="0.5">
      <c r="L2857" s="30"/>
    </row>
    <row r="2858" spans="12:12" x14ac:dyDescent="0.5">
      <c r="L2858" s="30"/>
    </row>
    <row r="2859" spans="12:12" x14ac:dyDescent="0.5">
      <c r="L2859" s="30"/>
    </row>
    <row r="2860" spans="12:12" x14ac:dyDescent="0.5">
      <c r="L2860" s="30"/>
    </row>
    <row r="2861" spans="12:12" x14ac:dyDescent="0.5">
      <c r="L2861" s="30"/>
    </row>
    <row r="2862" spans="12:12" x14ac:dyDescent="0.5">
      <c r="L2862" s="30"/>
    </row>
    <row r="2863" spans="12:12" x14ac:dyDescent="0.5">
      <c r="L2863" s="30"/>
    </row>
    <row r="2864" spans="12:12" x14ac:dyDescent="0.5">
      <c r="L2864" s="30"/>
    </row>
    <row r="2865" spans="12:12" x14ac:dyDescent="0.5">
      <c r="L2865" s="30"/>
    </row>
    <row r="2866" spans="12:12" x14ac:dyDescent="0.5">
      <c r="L2866" s="30"/>
    </row>
    <row r="2867" spans="12:12" x14ac:dyDescent="0.5">
      <c r="L2867" s="30"/>
    </row>
    <row r="2868" spans="12:12" x14ac:dyDescent="0.5">
      <c r="L2868" s="30"/>
    </row>
    <row r="2869" spans="12:12" x14ac:dyDescent="0.5">
      <c r="L2869" s="30"/>
    </row>
    <row r="2870" spans="12:12" x14ac:dyDescent="0.5">
      <c r="L2870" s="30"/>
    </row>
    <row r="2871" spans="12:12" x14ac:dyDescent="0.5">
      <c r="L2871" s="30"/>
    </row>
    <row r="2872" spans="12:12" x14ac:dyDescent="0.5">
      <c r="L2872" s="30"/>
    </row>
    <row r="2873" spans="12:12" x14ac:dyDescent="0.5">
      <c r="L2873" s="30"/>
    </row>
    <row r="2874" spans="12:12" x14ac:dyDescent="0.5">
      <c r="L2874" s="30"/>
    </row>
    <row r="2875" spans="12:12" x14ac:dyDescent="0.5">
      <c r="L2875" s="30"/>
    </row>
    <row r="2876" spans="12:12" x14ac:dyDescent="0.5">
      <c r="L2876" s="30"/>
    </row>
    <row r="2877" spans="12:12" x14ac:dyDescent="0.5">
      <c r="L2877" s="30"/>
    </row>
    <row r="2878" spans="12:12" x14ac:dyDescent="0.5">
      <c r="L2878" s="30"/>
    </row>
    <row r="2879" spans="12:12" x14ac:dyDescent="0.5">
      <c r="L2879" s="30"/>
    </row>
    <row r="2880" spans="12:12" x14ac:dyDescent="0.5">
      <c r="L2880" s="30"/>
    </row>
    <row r="2881" spans="12:12" x14ac:dyDescent="0.5">
      <c r="L2881" s="30"/>
    </row>
    <row r="2882" spans="12:12" x14ac:dyDescent="0.5">
      <c r="L2882" s="30"/>
    </row>
    <row r="2883" spans="12:12" x14ac:dyDescent="0.5">
      <c r="L2883" s="30"/>
    </row>
    <row r="2884" spans="12:12" x14ac:dyDescent="0.5">
      <c r="L2884" s="30"/>
    </row>
    <row r="2885" spans="12:12" x14ac:dyDescent="0.5">
      <c r="L2885" s="30"/>
    </row>
    <row r="2886" spans="12:12" x14ac:dyDescent="0.5">
      <c r="L2886" s="30"/>
    </row>
    <row r="2887" spans="12:12" x14ac:dyDescent="0.5">
      <c r="L2887" s="30"/>
    </row>
    <row r="2888" spans="12:12" x14ac:dyDescent="0.5">
      <c r="L2888" s="30"/>
    </row>
    <row r="2889" spans="12:12" x14ac:dyDescent="0.5">
      <c r="L2889" s="30"/>
    </row>
    <row r="2890" spans="12:12" x14ac:dyDescent="0.5">
      <c r="L2890" s="30"/>
    </row>
    <row r="2891" spans="12:12" x14ac:dyDescent="0.5">
      <c r="L2891" s="30"/>
    </row>
    <row r="2892" spans="12:12" x14ac:dyDescent="0.5">
      <c r="L2892" s="30"/>
    </row>
    <row r="2893" spans="12:12" x14ac:dyDescent="0.5">
      <c r="L2893" s="30"/>
    </row>
    <row r="2894" spans="12:12" x14ac:dyDescent="0.5">
      <c r="L2894" s="30"/>
    </row>
    <row r="2895" spans="12:12" x14ac:dyDescent="0.5">
      <c r="L2895" s="30"/>
    </row>
    <row r="2896" spans="12:12" x14ac:dyDescent="0.5">
      <c r="L2896" s="30"/>
    </row>
    <row r="2897" spans="12:12" x14ac:dyDescent="0.5">
      <c r="L2897" s="30"/>
    </row>
    <row r="2898" spans="12:12" x14ac:dyDescent="0.5">
      <c r="L2898" s="30"/>
    </row>
    <row r="2899" spans="12:12" x14ac:dyDescent="0.5">
      <c r="L2899" s="30"/>
    </row>
    <row r="2900" spans="12:12" x14ac:dyDescent="0.5">
      <c r="L2900" s="30"/>
    </row>
    <row r="2901" spans="12:12" x14ac:dyDescent="0.5">
      <c r="L2901" s="30"/>
    </row>
    <row r="2902" spans="12:12" x14ac:dyDescent="0.5">
      <c r="L2902" s="30"/>
    </row>
    <row r="2903" spans="12:12" x14ac:dyDescent="0.5">
      <c r="L2903" s="30"/>
    </row>
    <row r="2904" spans="12:12" x14ac:dyDescent="0.5">
      <c r="L2904" s="30"/>
    </row>
    <row r="2905" spans="12:12" x14ac:dyDescent="0.5">
      <c r="L2905" s="30"/>
    </row>
    <row r="2906" spans="12:12" x14ac:dyDescent="0.5">
      <c r="L2906" s="30"/>
    </row>
    <row r="2907" spans="12:12" x14ac:dyDescent="0.5">
      <c r="L2907" s="30"/>
    </row>
    <row r="2908" spans="12:12" x14ac:dyDescent="0.5">
      <c r="L2908" s="30"/>
    </row>
    <row r="2909" spans="12:12" x14ac:dyDescent="0.5">
      <c r="L2909" s="30"/>
    </row>
    <row r="2910" spans="12:12" x14ac:dyDescent="0.5">
      <c r="L2910" s="30"/>
    </row>
    <row r="2911" spans="12:12" x14ac:dyDescent="0.5">
      <c r="L2911" s="30"/>
    </row>
    <row r="2912" spans="12:12" x14ac:dyDescent="0.5">
      <c r="L2912" s="30"/>
    </row>
    <row r="2913" spans="12:12" x14ac:dyDescent="0.5">
      <c r="L2913" s="30"/>
    </row>
    <row r="2914" spans="12:12" x14ac:dyDescent="0.5">
      <c r="L2914" s="30"/>
    </row>
    <row r="2915" spans="12:12" x14ac:dyDescent="0.5">
      <c r="L2915" s="30"/>
    </row>
    <row r="2916" spans="12:12" x14ac:dyDescent="0.5">
      <c r="L2916" s="30"/>
    </row>
    <row r="2917" spans="12:12" x14ac:dyDescent="0.5">
      <c r="L2917" s="30"/>
    </row>
    <row r="2918" spans="12:12" x14ac:dyDescent="0.5">
      <c r="L2918" s="30"/>
    </row>
    <row r="2919" spans="12:12" x14ac:dyDescent="0.5">
      <c r="L2919" s="30"/>
    </row>
    <row r="2920" spans="12:12" x14ac:dyDescent="0.5">
      <c r="L2920" s="30"/>
    </row>
    <row r="2921" spans="12:12" x14ac:dyDescent="0.5">
      <c r="L2921" s="30"/>
    </row>
    <row r="2922" spans="12:12" x14ac:dyDescent="0.5">
      <c r="L2922" s="30"/>
    </row>
    <row r="2923" spans="12:12" x14ac:dyDescent="0.5">
      <c r="L2923" s="30"/>
    </row>
    <row r="2924" spans="12:12" x14ac:dyDescent="0.5">
      <c r="L2924" s="30"/>
    </row>
    <row r="2925" spans="12:12" x14ac:dyDescent="0.5">
      <c r="L2925" s="30"/>
    </row>
    <row r="2926" spans="12:12" x14ac:dyDescent="0.5">
      <c r="L2926" s="30"/>
    </row>
    <row r="2927" spans="12:12" x14ac:dyDescent="0.5">
      <c r="L2927" s="30"/>
    </row>
    <row r="2928" spans="12:12" x14ac:dyDescent="0.5">
      <c r="L2928" s="30"/>
    </row>
    <row r="2929" spans="12:12" x14ac:dyDescent="0.5">
      <c r="L2929" s="30"/>
    </row>
    <row r="2930" spans="12:12" x14ac:dyDescent="0.5">
      <c r="L2930" s="30"/>
    </row>
    <row r="2931" spans="12:12" x14ac:dyDescent="0.5">
      <c r="L2931" s="30"/>
    </row>
    <row r="2932" spans="12:12" x14ac:dyDescent="0.5">
      <c r="L2932" s="30"/>
    </row>
    <row r="2933" spans="12:12" x14ac:dyDescent="0.5">
      <c r="L2933" s="30"/>
    </row>
    <row r="2934" spans="12:12" x14ac:dyDescent="0.5">
      <c r="L2934" s="30"/>
    </row>
    <row r="2935" spans="12:12" x14ac:dyDescent="0.5">
      <c r="L2935" s="30"/>
    </row>
    <row r="2936" spans="12:12" x14ac:dyDescent="0.5">
      <c r="L2936" s="30"/>
    </row>
    <row r="2937" spans="12:12" x14ac:dyDescent="0.5">
      <c r="L2937" s="30"/>
    </row>
    <row r="2938" spans="12:12" x14ac:dyDescent="0.5">
      <c r="L2938" s="30"/>
    </row>
    <row r="2939" spans="12:12" x14ac:dyDescent="0.5">
      <c r="L2939" s="30"/>
    </row>
    <row r="2940" spans="12:12" x14ac:dyDescent="0.5">
      <c r="L2940" s="30"/>
    </row>
    <row r="2941" spans="12:12" x14ac:dyDescent="0.5">
      <c r="L2941" s="30"/>
    </row>
    <row r="2942" spans="12:12" x14ac:dyDescent="0.5">
      <c r="L2942" s="30"/>
    </row>
    <row r="2943" spans="12:12" x14ac:dyDescent="0.5">
      <c r="L2943" s="30"/>
    </row>
    <row r="2944" spans="12:12" x14ac:dyDescent="0.5">
      <c r="L2944" s="30"/>
    </row>
    <row r="2945" spans="12:12" x14ac:dyDescent="0.5">
      <c r="L2945" s="30"/>
    </row>
    <row r="2946" spans="12:12" x14ac:dyDescent="0.5">
      <c r="L2946" s="30"/>
    </row>
    <row r="2947" spans="12:12" x14ac:dyDescent="0.5">
      <c r="L2947" s="30"/>
    </row>
    <row r="2948" spans="12:12" x14ac:dyDescent="0.5">
      <c r="L2948" s="30"/>
    </row>
    <row r="2949" spans="12:12" x14ac:dyDescent="0.5">
      <c r="L2949" s="30"/>
    </row>
    <row r="2950" spans="12:12" x14ac:dyDescent="0.5">
      <c r="L2950" s="30"/>
    </row>
    <row r="2951" spans="12:12" x14ac:dyDescent="0.5">
      <c r="L2951" s="30"/>
    </row>
    <row r="2952" spans="12:12" x14ac:dyDescent="0.5">
      <c r="L2952" s="30"/>
    </row>
    <row r="2953" spans="12:12" x14ac:dyDescent="0.5">
      <c r="L2953" s="30"/>
    </row>
    <row r="2954" spans="12:12" x14ac:dyDescent="0.5">
      <c r="L2954" s="30"/>
    </row>
    <row r="2955" spans="12:12" x14ac:dyDescent="0.5">
      <c r="L2955" s="30"/>
    </row>
    <row r="2956" spans="12:12" x14ac:dyDescent="0.5">
      <c r="L2956" s="30"/>
    </row>
    <row r="2957" spans="12:12" x14ac:dyDescent="0.5">
      <c r="L2957" s="30"/>
    </row>
    <row r="2958" spans="12:12" x14ac:dyDescent="0.5">
      <c r="L2958" s="30"/>
    </row>
    <row r="2959" spans="12:12" x14ac:dyDescent="0.5">
      <c r="L2959" s="30"/>
    </row>
    <row r="2960" spans="12:12" x14ac:dyDescent="0.5">
      <c r="L2960" s="30"/>
    </row>
    <row r="2961" spans="12:12" x14ac:dyDescent="0.5">
      <c r="L2961" s="30"/>
    </row>
    <row r="2962" spans="12:12" x14ac:dyDescent="0.5">
      <c r="L2962" s="30"/>
    </row>
    <row r="2963" spans="12:12" x14ac:dyDescent="0.5">
      <c r="L2963" s="30"/>
    </row>
    <row r="2964" spans="12:12" x14ac:dyDescent="0.5">
      <c r="L2964" s="30"/>
    </row>
    <row r="2965" spans="12:12" x14ac:dyDescent="0.5">
      <c r="L2965" s="30"/>
    </row>
    <row r="2966" spans="12:12" x14ac:dyDescent="0.5">
      <c r="L2966" s="30"/>
    </row>
    <row r="2967" spans="12:12" x14ac:dyDescent="0.5">
      <c r="L2967" s="30"/>
    </row>
    <row r="2968" spans="12:12" x14ac:dyDescent="0.5">
      <c r="L2968" s="30"/>
    </row>
    <row r="2969" spans="12:12" x14ac:dyDescent="0.5">
      <c r="L2969" s="30"/>
    </row>
    <row r="2970" spans="12:12" x14ac:dyDescent="0.5">
      <c r="L2970" s="30"/>
    </row>
    <row r="2971" spans="12:12" x14ac:dyDescent="0.5">
      <c r="L2971" s="30"/>
    </row>
    <row r="2972" spans="12:12" x14ac:dyDescent="0.5">
      <c r="L2972" s="30"/>
    </row>
    <row r="2973" spans="12:12" x14ac:dyDescent="0.5">
      <c r="L2973" s="30"/>
    </row>
    <row r="2974" spans="12:12" x14ac:dyDescent="0.5">
      <c r="L2974" s="30"/>
    </row>
    <row r="2975" spans="12:12" x14ac:dyDescent="0.5">
      <c r="L2975" s="30"/>
    </row>
    <row r="2976" spans="12:12" x14ac:dyDescent="0.5">
      <c r="L2976" s="30"/>
    </row>
    <row r="2977" spans="12:12" x14ac:dyDescent="0.5">
      <c r="L2977" s="30"/>
    </row>
    <row r="2978" spans="12:12" x14ac:dyDescent="0.5">
      <c r="L2978" s="30"/>
    </row>
    <row r="2979" spans="12:12" x14ac:dyDescent="0.5">
      <c r="L2979" s="30"/>
    </row>
    <row r="2980" spans="12:12" x14ac:dyDescent="0.5">
      <c r="L2980" s="30"/>
    </row>
    <row r="2981" spans="12:12" x14ac:dyDescent="0.5">
      <c r="L2981" s="30"/>
    </row>
    <row r="2982" spans="12:12" x14ac:dyDescent="0.5">
      <c r="L2982" s="30"/>
    </row>
    <row r="2983" spans="12:12" x14ac:dyDescent="0.5">
      <c r="L2983" s="30"/>
    </row>
    <row r="2984" spans="12:12" x14ac:dyDescent="0.5">
      <c r="L2984" s="30"/>
    </row>
    <row r="2985" spans="12:12" x14ac:dyDescent="0.5">
      <c r="L2985" s="30"/>
    </row>
    <row r="2986" spans="12:12" x14ac:dyDescent="0.5">
      <c r="L2986" s="30"/>
    </row>
    <row r="2987" spans="12:12" x14ac:dyDescent="0.5">
      <c r="L2987" s="30"/>
    </row>
    <row r="2988" spans="12:12" x14ac:dyDescent="0.5">
      <c r="L2988" s="30"/>
    </row>
    <row r="2989" spans="12:12" x14ac:dyDescent="0.5">
      <c r="L2989" s="30"/>
    </row>
    <row r="2990" spans="12:12" x14ac:dyDescent="0.5">
      <c r="L2990" s="30"/>
    </row>
    <row r="2991" spans="12:12" x14ac:dyDescent="0.5">
      <c r="L2991" s="30"/>
    </row>
    <row r="2992" spans="12:12" x14ac:dyDescent="0.5">
      <c r="L2992" s="30"/>
    </row>
    <row r="2993" spans="12:12" x14ac:dyDescent="0.5">
      <c r="L2993" s="30"/>
    </row>
    <row r="2994" spans="12:12" x14ac:dyDescent="0.5">
      <c r="L2994" s="30"/>
    </row>
    <row r="2995" spans="12:12" x14ac:dyDescent="0.5">
      <c r="L2995" s="30"/>
    </row>
    <row r="2996" spans="12:12" x14ac:dyDescent="0.5">
      <c r="L2996" s="30"/>
    </row>
    <row r="2997" spans="12:12" x14ac:dyDescent="0.5">
      <c r="L2997" s="30"/>
    </row>
    <row r="2998" spans="12:12" x14ac:dyDescent="0.5">
      <c r="L2998" s="30"/>
    </row>
    <row r="2999" spans="12:12" x14ac:dyDescent="0.5">
      <c r="L2999" s="30"/>
    </row>
    <row r="3000" spans="12:12" x14ac:dyDescent="0.5">
      <c r="L3000" s="30"/>
    </row>
    <row r="3001" spans="12:12" x14ac:dyDescent="0.5">
      <c r="L3001" s="30"/>
    </row>
    <row r="3002" spans="12:12" x14ac:dyDescent="0.5">
      <c r="L3002" s="30"/>
    </row>
    <row r="3003" spans="12:12" x14ac:dyDescent="0.5">
      <c r="L3003" s="30"/>
    </row>
    <row r="3004" spans="12:12" x14ac:dyDescent="0.5">
      <c r="L3004" s="30"/>
    </row>
    <row r="3005" spans="12:12" x14ac:dyDescent="0.5">
      <c r="L3005" s="30"/>
    </row>
    <row r="3006" spans="12:12" x14ac:dyDescent="0.5">
      <c r="L3006" s="30"/>
    </row>
    <row r="3007" spans="12:12" x14ac:dyDescent="0.5">
      <c r="L3007" s="30"/>
    </row>
    <row r="3008" spans="12:12" x14ac:dyDescent="0.5">
      <c r="L3008" s="30"/>
    </row>
    <row r="3009" spans="12:12" x14ac:dyDescent="0.5">
      <c r="L3009" s="30"/>
    </row>
    <row r="3010" spans="12:12" x14ac:dyDescent="0.5">
      <c r="L3010" s="30"/>
    </row>
    <row r="3011" spans="12:12" x14ac:dyDescent="0.5">
      <c r="L3011" s="30"/>
    </row>
    <row r="3012" spans="12:12" x14ac:dyDescent="0.5">
      <c r="L3012" s="30"/>
    </row>
    <row r="3013" spans="12:12" x14ac:dyDescent="0.5">
      <c r="L3013" s="30"/>
    </row>
    <row r="3014" spans="12:12" x14ac:dyDescent="0.5">
      <c r="L3014" s="30"/>
    </row>
    <row r="3015" spans="12:12" x14ac:dyDescent="0.5">
      <c r="L3015" s="30"/>
    </row>
    <row r="3016" spans="12:12" x14ac:dyDescent="0.5">
      <c r="L3016" s="30"/>
    </row>
    <row r="3017" spans="12:12" x14ac:dyDescent="0.5">
      <c r="L3017" s="30"/>
    </row>
    <row r="3018" spans="12:12" x14ac:dyDescent="0.5">
      <c r="L3018" s="30"/>
    </row>
    <row r="3019" spans="12:12" x14ac:dyDescent="0.5">
      <c r="L3019" s="30"/>
    </row>
    <row r="3020" spans="12:12" x14ac:dyDescent="0.5">
      <c r="L3020" s="30"/>
    </row>
    <row r="3021" spans="12:12" x14ac:dyDescent="0.5">
      <c r="L3021" s="30"/>
    </row>
    <row r="3022" spans="12:12" x14ac:dyDescent="0.5">
      <c r="L3022" s="30"/>
    </row>
    <row r="3023" spans="12:12" x14ac:dyDescent="0.5">
      <c r="L3023" s="30"/>
    </row>
    <row r="3024" spans="12:12" x14ac:dyDescent="0.5">
      <c r="L3024" s="30"/>
    </row>
    <row r="3025" spans="12:12" x14ac:dyDescent="0.5">
      <c r="L3025" s="30"/>
    </row>
    <row r="3026" spans="12:12" x14ac:dyDescent="0.5">
      <c r="L3026" s="30"/>
    </row>
    <row r="3027" spans="12:12" x14ac:dyDescent="0.5">
      <c r="L3027" s="30"/>
    </row>
    <row r="3028" spans="12:12" x14ac:dyDescent="0.5">
      <c r="L3028" s="30"/>
    </row>
    <row r="3029" spans="12:12" x14ac:dyDescent="0.5">
      <c r="L3029" s="30"/>
    </row>
    <row r="3030" spans="12:12" x14ac:dyDescent="0.5">
      <c r="L3030" s="30"/>
    </row>
    <row r="3031" spans="12:12" x14ac:dyDescent="0.5">
      <c r="L3031" s="30"/>
    </row>
    <row r="3032" spans="12:12" x14ac:dyDescent="0.5">
      <c r="L3032" s="30"/>
    </row>
    <row r="3033" spans="12:12" x14ac:dyDescent="0.5">
      <c r="L3033" s="30"/>
    </row>
    <row r="3034" spans="12:12" x14ac:dyDescent="0.5">
      <c r="L3034" s="30"/>
    </row>
    <row r="3035" spans="12:12" x14ac:dyDescent="0.5">
      <c r="L3035" s="30"/>
    </row>
    <row r="3036" spans="12:12" x14ac:dyDescent="0.5">
      <c r="L3036" s="30"/>
    </row>
    <row r="3037" spans="12:12" x14ac:dyDescent="0.5">
      <c r="L3037" s="30"/>
    </row>
    <row r="3038" spans="12:12" x14ac:dyDescent="0.5">
      <c r="L3038" s="30"/>
    </row>
    <row r="3039" spans="12:12" x14ac:dyDescent="0.5">
      <c r="L3039" s="30"/>
    </row>
    <row r="3040" spans="12:12" x14ac:dyDescent="0.5">
      <c r="L3040" s="30"/>
    </row>
    <row r="3041" spans="12:12" x14ac:dyDescent="0.5">
      <c r="L3041" s="30"/>
    </row>
    <row r="3042" spans="12:12" x14ac:dyDescent="0.5">
      <c r="L3042" s="30"/>
    </row>
    <row r="3043" spans="12:12" x14ac:dyDescent="0.5">
      <c r="L3043" s="30"/>
    </row>
    <row r="3044" spans="12:12" x14ac:dyDescent="0.5">
      <c r="L3044" s="30"/>
    </row>
    <row r="3045" spans="12:12" x14ac:dyDescent="0.5">
      <c r="L3045" s="30"/>
    </row>
    <row r="3046" spans="12:12" x14ac:dyDescent="0.5">
      <c r="L3046" s="30"/>
    </row>
    <row r="3047" spans="12:12" x14ac:dyDescent="0.5">
      <c r="L3047" s="30"/>
    </row>
    <row r="3048" spans="12:12" x14ac:dyDescent="0.5">
      <c r="L3048" s="30"/>
    </row>
    <row r="3049" spans="12:12" x14ac:dyDescent="0.5">
      <c r="L3049" s="30"/>
    </row>
    <row r="3050" spans="12:12" x14ac:dyDescent="0.5">
      <c r="L3050" s="30"/>
    </row>
    <row r="3051" spans="12:12" x14ac:dyDescent="0.5">
      <c r="L3051" s="30"/>
    </row>
    <row r="3052" spans="12:12" x14ac:dyDescent="0.5">
      <c r="L3052" s="30"/>
    </row>
    <row r="3053" spans="12:12" x14ac:dyDescent="0.5">
      <c r="L3053" s="30"/>
    </row>
    <row r="3054" spans="12:12" x14ac:dyDescent="0.5">
      <c r="L3054" s="30"/>
    </row>
    <row r="3055" spans="12:12" x14ac:dyDescent="0.5">
      <c r="L3055" s="30"/>
    </row>
    <row r="3056" spans="12:12" x14ac:dyDescent="0.5">
      <c r="L3056" s="30"/>
    </row>
    <row r="3057" spans="12:12" x14ac:dyDescent="0.5">
      <c r="L3057" s="30"/>
    </row>
    <row r="3058" spans="12:12" x14ac:dyDescent="0.5">
      <c r="L3058" s="30"/>
    </row>
    <row r="3059" spans="12:12" x14ac:dyDescent="0.5">
      <c r="L3059" s="30"/>
    </row>
    <row r="3060" spans="12:12" x14ac:dyDescent="0.5">
      <c r="L3060" s="30"/>
    </row>
    <row r="3061" spans="12:12" x14ac:dyDescent="0.5">
      <c r="L3061" s="30"/>
    </row>
    <row r="3062" spans="12:12" x14ac:dyDescent="0.5">
      <c r="L3062" s="30"/>
    </row>
    <row r="3063" spans="12:12" x14ac:dyDescent="0.5">
      <c r="L3063" s="30"/>
    </row>
    <row r="3064" spans="12:12" x14ac:dyDescent="0.5">
      <c r="L3064" s="30"/>
    </row>
    <row r="3065" spans="12:12" x14ac:dyDescent="0.5">
      <c r="L3065" s="30"/>
    </row>
    <row r="3066" spans="12:12" x14ac:dyDescent="0.5">
      <c r="L3066" s="30"/>
    </row>
    <row r="3067" spans="12:12" x14ac:dyDescent="0.5">
      <c r="L3067" s="30"/>
    </row>
    <row r="3068" spans="12:12" x14ac:dyDescent="0.5">
      <c r="L3068" s="30"/>
    </row>
    <row r="3069" spans="12:12" x14ac:dyDescent="0.5">
      <c r="L3069" s="30"/>
    </row>
    <row r="3070" spans="12:12" x14ac:dyDescent="0.5">
      <c r="L3070" s="30"/>
    </row>
    <row r="3071" spans="12:12" x14ac:dyDescent="0.5">
      <c r="L3071" s="30"/>
    </row>
    <row r="3072" spans="12:12" x14ac:dyDescent="0.5">
      <c r="L3072" s="30"/>
    </row>
    <row r="3073" spans="12:12" x14ac:dyDescent="0.5">
      <c r="L3073" s="30"/>
    </row>
    <row r="3074" spans="12:12" x14ac:dyDescent="0.5">
      <c r="L3074" s="30"/>
    </row>
    <row r="3075" spans="12:12" x14ac:dyDescent="0.5">
      <c r="L3075" s="30"/>
    </row>
    <row r="3076" spans="12:12" x14ac:dyDescent="0.5">
      <c r="L3076" s="30"/>
    </row>
    <row r="3077" spans="12:12" x14ac:dyDescent="0.5">
      <c r="L3077" s="30"/>
    </row>
    <row r="3078" spans="12:12" x14ac:dyDescent="0.5">
      <c r="L3078" s="30"/>
    </row>
    <row r="3079" spans="12:12" x14ac:dyDescent="0.5">
      <c r="L3079" s="30"/>
    </row>
    <row r="3080" spans="12:12" x14ac:dyDescent="0.5">
      <c r="L3080" s="30"/>
    </row>
    <row r="3081" spans="12:12" x14ac:dyDescent="0.5">
      <c r="L3081" s="30"/>
    </row>
    <row r="3082" spans="12:12" x14ac:dyDescent="0.5">
      <c r="L3082" s="30"/>
    </row>
    <row r="3083" spans="12:12" x14ac:dyDescent="0.5">
      <c r="L3083" s="30"/>
    </row>
    <row r="3084" spans="12:12" x14ac:dyDescent="0.5">
      <c r="L3084" s="30"/>
    </row>
    <row r="3085" spans="12:12" x14ac:dyDescent="0.5">
      <c r="L3085" s="30"/>
    </row>
    <row r="3086" spans="12:12" x14ac:dyDescent="0.5">
      <c r="L3086" s="30"/>
    </row>
    <row r="3087" spans="12:12" x14ac:dyDescent="0.5">
      <c r="L3087" s="30"/>
    </row>
    <row r="3088" spans="12:12" x14ac:dyDescent="0.5">
      <c r="L3088" s="30"/>
    </row>
    <row r="3089" spans="12:12" x14ac:dyDescent="0.5">
      <c r="L3089" s="30"/>
    </row>
    <row r="3090" spans="12:12" x14ac:dyDescent="0.5">
      <c r="L3090" s="30"/>
    </row>
    <row r="3091" spans="12:12" x14ac:dyDescent="0.5">
      <c r="L3091" s="30"/>
    </row>
    <row r="3092" spans="12:12" x14ac:dyDescent="0.5">
      <c r="L3092" s="30"/>
    </row>
    <row r="3093" spans="12:12" x14ac:dyDescent="0.5">
      <c r="L3093" s="30"/>
    </row>
    <row r="3094" spans="12:12" x14ac:dyDescent="0.5">
      <c r="L3094" s="30"/>
    </row>
    <row r="3095" spans="12:12" x14ac:dyDescent="0.5">
      <c r="L3095" s="30"/>
    </row>
    <row r="3096" spans="12:12" x14ac:dyDescent="0.5">
      <c r="L3096" s="30"/>
    </row>
    <row r="3097" spans="12:12" x14ac:dyDescent="0.5">
      <c r="L3097" s="30"/>
    </row>
    <row r="3098" spans="12:12" x14ac:dyDescent="0.5">
      <c r="L3098" s="30"/>
    </row>
    <row r="3099" spans="12:12" x14ac:dyDescent="0.5">
      <c r="L3099" s="30"/>
    </row>
    <row r="3100" spans="12:12" x14ac:dyDescent="0.5">
      <c r="L3100" s="30"/>
    </row>
    <row r="3101" spans="12:12" x14ac:dyDescent="0.5">
      <c r="L3101" s="30"/>
    </row>
    <row r="3102" spans="12:12" x14ac:dyDescent="0.5">
      <c r="L3102" s="30"/>
    </row>
    <row r="3103" spans="12:12" x14ac:dyDescent="0.5">
      <c r="L3103" s="30"/>
    </row>
    <row r="3104" spans="12:12" x14ac:dyDescent="0.5">
      <c r="L3104" s="30"/>
    </row>
    <row r="3105" spans="12:12" x14ac:dyDescent="0.5">
      <c r="L3105" s="30"/>
    </row>
    <row r="3106" spans="12:12" x14ac:dyDescent="0.5">
      <c r="L3106" s="30"/>
    </row>
    <row r="3107" spans="12:12" x14ac:dyDescent="0.5">
      <c r="L3107" s="30"/>
    </row>
    <row r="3108" spans="12:12" x14ac:dyDescent="0.5">
      <c r="L3108" s="30"/>
    </row>
    <row r="3109" spans="12:12" x14ac:dyDescent="0.5">
      <c r="L3109" s="30"/>
    </row>
    <row r="3110" spans="12:12" x14ac:dyDescent="0.5">
      <c r="L3110" s="30"/>
    </row>
    <row r="3111" spans="12:12" x14ac:dyDescent="0.5">
      <c r="L3111" s="30"/>
    </row>
    <row r="3112" spans="12:12" x14ac:dyDescent="0.5">
      <c r="L3112" s="30"/>
    </row>
    <row r="3113" spans="12:12" x14ac:dyDescent="0.5">
      <c r="L3113" s="30"/>
    </row>
    <row r="3114" spans="12:12" x14ac:dyDescent="0.5">
      <c r="L3114" s="30"/>
    </row>
    <row r="3115" spans="12:12" x14ac:dyDescent="0.5">
      <c r="L3115" s="30"/>
    </row>
    <row r="3116" spans="12:12" x14ac:dyDescent="0.5">
      <c r="L3116" s="30"/>
    </row>
    <row r="3117" spans="12:12" x14ac:dyDescent="0.5">
      <c r="L3117" s="30"/>
    </row>
    <row r="3118" spans="12:12" x14ac:dyDescent="0.5">
      <c r="L3118" s="30"/>
    </row>
    <row r="3119" spans="12:12" x14ac:dyDescent="0.5">
      <c r="L3119" s="30"/>
    </row>
    <row r="3120" spans="12:12" x14ac:dyDescent="0.5">
      <c r="L3120" s="30"/>
    </row>
    <row r="3121" spans="12:12" x14ac:dyDescent="0.5">
      <c r="L3121" s="30"/>
    </row>
    <row r="3122" spans="12:12" x14ac:dyDescent="0.5">
      <c r="L3122" s="30"/>
    </row>
    <row r="3123" spans="12:12" x14ac:dyDescent="0.5">
      <c r="L3123" s="30"/>
    </row>
    <row r="3124" spans="12:12" x14ac:dyDescent="0.5">
      <c r="L3124" s="30"/>
    </row>
    <row r="3125" spans="12:12" x14ac:dyDescent="0.5">
      <c r="L3125" s="30"/>
    </row>
    <row r="3126" spans="12:12" x14ac:dyDescent="0.5">
      <c r="L3126" s="30"/>
    </row>
    <row r="3127" spans="12:12" x14ac:dyDescent="0.5">
      <c r="L3127" s="30"/>
    </row>
    <row r="3128" spans="12:12" x14ac:dyDescent="0.5">
      <c r="L3128" s="30"/>
    </row>
    <row r="3129" spans="12:12" x14ac:dyDescent="0.5">
      <c r="L3129" s="30"/>
    </row>
    <row r="3130" spans="12:12" x14ac:dyDescent="0.5">
      <c r="L3130" s="30"/>
    </row>
    <row r="3131" spans="12:12" x14ac:dyDescent="0.5">
      <c r="L3131" s="30"/>
    </row>
    <row r="3132" spans="12:12" x14ac:dyDescent="0.5">
      <c r="L3132" s="30"/>
    </row>
    <row r="3133" spans="12:12" x14ac:dyDescent="0.5">
      <c r="L3133" s="30"/>
    </row>
    <row r="3134" spans="12:12" x14ac:dyDescent="0.5">
      <c r="L3134" s="30"/>
    </row>
    <row r="3135" spans="12:12" x14ac:dyDescent="0.5">
      <c r="L3135" s="30"/>
    </row>
    <row r="3136" spans="12:12" x14ac:dyDescent="0.5">
      <c r="L3136" s="30"/>
    </row>
    <row r="3137" spans="12:12" x14ac:dyDescent="0.5">
      <c r="L3137" s="30"/>
    </row>
    <row r="3138" spans="12:12" x14ac:dyDescent="0.5">
      <c r="L3138" s="30"/>
    </row>
    <row r="3139" spans="12:12" x14ac:dyDescent="0.5">
      <c r="L3139" s="30"/>
    </row>
    <row r="3140" spans="12:12" x14ac:dyDescent="0.5">
      <c r="L3140" s="30"/>
    </row>
    <row r="3141" spans="12:12" x14ac:dyDescent="0.5">
      <c r="L3141" s="30"/>
    </row>
    <row r="3142" spans="12:12" x14ac:dyDescent="0.5">
      <c r="L3142" s="30"/>
    </row>
    <row r="3143" spans="12:12" x14ac:dyDescent="0.5">
      <c r="L3143" s="30"/>
    </row>
    <row r="3144" spans="12:12" x14ac:dyDescent="0.5">
      <c r="L3144" s="30"/>
    </row>
    <row r="3145" spans="12:12" x14ac:dyDescent="0.5">
      <c r="L3145" s="30"/>
    </row>
    <row r="3146" spans="12:12" x14ac:dyDescent="0.5">
      <c r="L3146" s="30"/>
    </row>
    <row r="3147" spans="12:12" x14ac:dyDescent="0.5">
      <c r="L3147" s="30"/>
    </row>
    <row r="3148" spans="12:12" x14ac:dyDescent="0.5">
      <c r="L3148" s="30"/>
    </row>
    <row r="3149" spans="12:12" x14ac:dyDescent="0.5">
      <c r="L3149" s="30"/>
    </row>
    <row r="3150" spans="12:12" x14ac:dyDescent="0.5">
      <c r="L3150" s="30"/>
    </row>
    <row r="3151" spans="12:12" x14ac:dyDescent="0.5">
      <c r="L3151" s="30"/>
    </row>
    <row r="3152" spans="12:12" x14ac:dyDescent="0.5">
      <c r="L3152" s="30"/>
    </row>
    <row r="3153" spans="12:12" x14ac:dyDescent="0.5">
      <c r="L3153" s="30"/>
    </row>
    <row r="3154" spans="12:12" x14ac:dyDescent="0.5">
      <c r="L3154" s="30"/>
    </row>
    <row r="3155" spans="12:12" x14ac:dyDescent="0.5">
      <c r="L3155" s="30"/>
    </row>
    <row r="3156" spans="12:12" x14ac:dyDescent="0.5">
      <c r="L3156" s="30"/>
    </row>
    <row r="3157" spans="12:12" x14ac:dyDescent="0.5">
      <c r="L3157" s="30"/>
    </row>
    <row r="3158" spans="12:12" x14ac:dyDescent="0.5">
      <c r="L3158" s="30"/>
    </row>
    <row r="3159" spans="12:12" x14ac:dyDescent="0.5">
      <c r="L3159" s="30"/>
    </row>
    <row r="3160" spans="12:12" x14ac:dyDescent="0.5">
      <c r="L3160" s="30"/>
    </row>
    <row r="3161" spans="12:12" x14ac:dyDescent="0.5">
      <c r="L3161" s="30"/>
    </row>
    <row r="3162" spans="12:12" x14ac:dyDescent="0.5">
      <c r="L3162" s="30"/>
    </row>
    <row r="3163" spans="12:12" x14ac:dyDescent="0.5">
      <c r="L3163" s="30"/>
    </row>
    <row r="3164" spans="12:12" x14ac:dyDescent="0.5">
      <c r="L3164" s="30"/>
    </row>
    <row r="3165" spans="12:12" x14ac:dyDescent="0.5">
      <c r="L3165" s="30"/>
    </row>
    <row r="3166" spans="12:12" x14ac:dyDescent="0.5">
      <c r="L3166" s="30"/>
    </row>
    <row r="3167" spans="12:12" x14ac:dyDescent="0.5">
      <c r="L3167" s="30"/>
    </row>
    <row r="3168" spans="12:12" x14ac:dyDescent="0.5">
      <c r="L3168" s="30"/>
    </row>
    <row r="3169" spans="12:12" x14ac:dyDescent="0.5">
      <c r="L3169" s="30"/>
    </row>
    <row r="3170" spans="12:12" x14ac:dyDescent="0.5">
      <c r="L3170" s="30"/>
    </row>
    <row r="3171" spans="12:12" x14ac:dyDescent="0.5">
      <c r="L3171" s="30"/>
    </row>
    <row r="3172" spans="12:12" x14ac:dyDescent="0.5">
      <c r="L3172" s="30"/>
    </row>
    <row r="3173" spans="12:12" x14ac:dyDescent="0.5">
      <c r="L3173" s="30"/>
    </row>
    <row r="3174" spans="12:12" x14ac:dyDescent="0.5">
      <c r="L3174" s="30"/>
    </row>
    <row r="3175" spans="12:12" x14ac:dyDescent="0.5">
      <c r="L3175" s="30"/>
    </row>
    <row r="3176" spans="12:12" x14ac:dyDescent="0.5">
      <c r="L3176" s="30"/>
    </row>
    <row r="3177" spans="12:12" x14ac:dyDescent="0.5">
      <c r="L3177" s="30"/>
    </row>
    <row r="3178" spans="12:12" x14ac:dyDescent="0.5">
      <c r="L3178" s="30"/>
    </row>
    <row r="3179" spans="12:12" x14ac:dyDescent="0.5">
      <c r="L3179" s="30"/>
    </row>
    <row r="3180" spans="12:12" x14ac:dyDescent="0.5">
      <c r="L3180" s="30"/>
    </row>
    <row r="3181" spans="12:12" x14ac:dyDescent="0.5">
      <c r="L3181" s="30"/>
    </row>
    <row r="3182" spans="12:12" x14ac:dyDescent="0.5">
      <c r="L3182" s="30"/>
    </row>
    <row r="3183" spans="12:12" x14ac:dyDescent="0.5">
      <c r="L3183" s="30"/>
    </row>
    <row r="3184" spans="12:12" x14ac:dyDescent="0.5">
      <c r="L3184" s="30"/>
    </row>
    <row r="3185" spans="12:12" x14ac:dyDescent="0.5">
      <c r="L3185" s="30"/>
    </row>
    <row r="3186" spans="12:12" x14ac:dyDescent="0.5">
      <c r="L3186" s="30"/>
    </row>
    <row r="3187" spans="12:12" x14ac:dyDescent="0.5">
      <c r="L3187" s="30"/>
    </row>
    <row r="3188" spans="12:12" x14ac:dyDescent="0.5">
      <c r="L3188" s="30"/>
    </row>
    <row r="3189" spans="12:12" x14ac:dyDescent="0.5">
      <c r="L3189" s="30"/>
    </row>
    <row r="3190" spans="12:12" x14ac:dyDescent="0.5">
      <c r="L3190" s="30"/>
    </row>
    <row r="3191" spans="12:12" x14ac:dyDescent="0.5">
      <c r="L3191" s="30"/>
    </row>
    <row r="3192" spans="12:12" x14ac:dyDescent="0.5">
      <c r="L3192" s="30"/>
    </row>
    <row r="3193" spans="12:12" x14ac:dyDescent="0.5">
      <c r="L3193" s="30"/>
    </row>
    <row r="3194" spans="12:12" x14ac:dyDescent="0.5">
      <c r="L3194" s="30"/>
    </row>
    <row r="3195" spans="12:12" x14ac:dyDescent="0.5">
      <c r="L3195" s="30"/>
    </row>
    <row r="3196" spans="12:12" x14ac:dyDescent="0.5">
      <c r="L3196" s="30"/>
    </row>
    <row r="3197" spans="12:12" x14ac:dyDescent="0.5">
      <c r="L3197" s="30"/>
    </row>
    <row r="3198" spans="12:12" x14ac:dyDescent="0.5">
      <c r="L3198" s="30"/>
    </row>
    <row r="3199" spans="12:12" x14ac:dyDescent="0.5">
      <c r="L3199" s="30"/>
    </row>
    <row r="3200" spans="12:12" x14ac:dyDescent="0.5">
      <c r="L3200" s="30"/>
    </row>
    <row r="3201" spans="12:12" x14ac:dyDescent="0.5">
      <c r="L3201" s="30"/>
    </row>
    <row r="3202" spans="12:12" x14ac:dyDescent="0.5">
      <c r="L3202" s="30"/>
    </row>
    <row r="3203" spans="12:12" x14ac:dyDescent="0.5">
      <c r="L3203" s="30"/>
    </row>
    <row r="3204" spans="12:12" x14ac:dyDescent="0.5">
      <c r="L3204" s="30"/>
    </row>
    <row r="3205" spans="12:12" x14ac:dyDescent="0.5">
      <c r="L3205" s="30"/>
    </row>
    <row r="3206" spans="12:12" x14ac:dyDescent="0.5">
      <c r="L3206" s="30"/>
    </row>
    <row r="3207" spans="12:12" x14ac:dyDescent="0.5">
      <c r="L3207" s="30"/>
    </row>
    <row r="3208" spans="12:12" x14ac:dyDescent="0.5">
      <c r="L3208" s="30"/>
    </row>
    <row r="3209" spans="12:12" x14ac:dyDescent="0.5">
      <c r="L3209" s="30"/>
    </row>
    <row r="3210" spans="12:12" x14ac:dyDescent="0.5">
      <c r="L3210" s="30"/>
    </row>
    <row r="3211" spans="12:12" x14ac:dyDescent="0.5">
      <c r="L3211" s="30"/>
    </row>
    <row r="3212" spans="12:12" x14ac:dyDescent="0.5">
      <c r="L3212" s="30"/>
    </row>
    <row r="3213" spans="12:12" x14ac:dyDescent="0.5">
      <c r="L3213" s="30"/>
    </row>
    <row r="3214" spans="12:12" x14ac:dyDescent="0.5">
      <c r="L3214" s="30"/>
    </row>
    <row r="3215" spans="12:12" x14ac:dyDescent="0.5">
      <c r="L3215" s="30"/>
    </row>
    <row r="3216" spans="12:12" x14ac:dyDescent="0.5">
      <c r="L3216" s="30"/>
    </row>
    <row r="3217" spans="12:12" x14ac:dyDescent="0.5">
      <c r="L3217" s="30"/>
    </row>
    <row r="3218" spans="12:12" x14ac:dyDescent="0.5">
      <c r="L3218" s="30"/>
    </row>
    <row r="3219" spans="12:12" x14ac:dyDescent="0.5">
      <c r="L3219" s="30"/>
    </row>
    <row r="3220" spans="12:12" x14ac:dyDescent="0.5">
      <c r="L3220" s="30"/>
    </row>
    <row r="3221" spans="12:12" x14ac:dyDescent="0.5">
      <c r="L3221" s="30"/>
    </row>
    <row r="3222" spans="12:12" x14ac:dyDescent="0.5">
      <c r="L3222" s="30"/>
    </row>
    <row r="3223" spans="12:12" x14ac:dyDescent="0.5">
      <c r="L3223" s="30"/>
    </row>
    <row r="3224" spans="12:12" x14ac:dyDescent="0.5">
      <c r="L3224" s="30"/>
    </row>
    <row r="3225" spans="12:12" x14ac:dyDescent="0.5">
      <c r="L3225" s="30"/>
    </row>
    <row r="3226" spans="12:12" x14ac:dyDescent="0.5">
      <c r="L3226" s="30"/>
    </row>
    <row r="3227" spans="12:12" x14ac:dyDescent="0.5">
      <c r="L3227" s="30"/>
    </row>
    <row r="3228" spans="12:12" x14ac:dyDescent="0.5">
      <c r="L3228" s="30"/>
    </row>
    <row r="3229" spans="12:12" x14ac:dyDescent="0.5">
      <c r="L3229" s="30"/>
    </row>
    <row r="3230" spans="12:12" x14ac:dyDescent="0.5">
      <c r="L3230" s="30"/>
    </row>
    <row r="3231" spans="12:12" x14ac:dyDescent="0.5">
      <c r="L3231" s="30"/>
    </row>
    <row r="3232" spans="12:12" x14ac:dyDescent="0.5">
      <c r="L3232" s="30"/>
    </row>
    <row r="3233" spans="12:12" x14ac:dyDescent="0.5">
      <c r="L3233" s="30"/>
    </row>
    <row r="3234" spans="12:12" x14ac:dyDescent="0.5">
      <c r="L3234" s="30"/>
    </row>
    <row r="3235" spans="12:12" x14ac:dyDescent="0.5">
      <c r="L3235" s="30"/>
    </row>
    <row r="3236" spans="12:12" x14ac:dyDescent="0.5">
      <c r="L3236" s="30"/>
    </row>
    <row r="3237" spans="12:12" x14ac:dyDescent="0.5">
      <c r="L3237" s="30"/>
    </row>
    <row r="3238" spans="12:12" x14ac:dyDescent="0.5">
      <c r="L3238" s="30"/>
    </row>
    <row r="3239" spans="12:12" x14ac:dyDescent="0.5">
      <c r="L3239" s="30"/>
    </row>
    <row r="3240" spans="12:12" x14ac:dyDescent="0.5">
      <c r="L3240" s="30"/>
    </row>
    <row r="3241" spans="12:12" x14ac:dyDescent="0.5">
      <c r="L3241" s="30"/>
    </row>
    <row r="3242" spans="12:12" x14ac:dyDescent="0.5">
      <c r="L3242" s="30"/>
    </row>
    <row r="3243" spans="12:12" x14ac:dyDescent="0.5">
      <c r="L3243" s="30"/>
    </row>
    <row r="3244" spans="12:12" x14ac:dyDescent="0.5">
      <c r="L3244" s="30"/>
    </row>
    <row r="3245" spans="12:12" x14ac:dyDescent="0.5">
      <c r="L3245" s="30"/>
    </row>
    <row r="3246" spans="12:12" x14ac:dyDescent="0.5">
      <c r="L3246" s="30"/>
    </row>
    <row r="3247" spans="12:12" x14ac:dyDescent="0.5">
      <c r="L3247" s="30"/>
    </row>
    <row r="3248" spans="12:12" x14ac:dyDescent="0.5">
      <c r="L3248" s="30"/>
    </row>
    <row r="3249" spans="12:12" x14ac:dyDescent="0.5">
      <c r="L3249" s="30"/>
    </row>
    <row r="3250" spans="12:12" x14ac:dyDescent="0.5">
      <c r="L3250" s="30"/>
    </row>
    <row r="3251" spans="12:12" x14ac:dyDescent="0.5">
      <c r="L3251" s="30"/>
    </row>
    <row r="3252" spans="12:12" x14ac:dyDescent="0.5">
      <c r="L3252" s="30"/>
    </row>
    <row r="3253" spans="12:12" x14ac:dyDescent="0.5">
      <c r="L3253" s="30"/>
    </row>
    <row r="3254" spans="12:12" x14ac:dyDescent="0.5">
      <c r="L3254" s="30"/>
    </row>
    <row r="3255" spans="12:12" x14ac:dyDescent="0.5">
      <c r="L3255" s="30"/>
    </row>
    <row r="3256" spans="12:12" x14ac:dyDescent="0.5">
      <c r="L3256" s="30"/>
    </row>
    <row r="3257" spans="12:12" x14ac:dyDescent="0.5">
      <c r="L3257" s="30"/>
    </row>
    <row r="3258" spans="12:12" x14ac:dyDescent="0.5">
      <c r="L3258" s="30"/>
    </row>
    <row r="3259" spans="12:12" x14ac:dyDescent="0.5">
      <c r="L3259" s="30"/>
    </row>
    <row r="3260" spans="12:12" x14ac:dyDescent="0.5">
      <c r="L3260" s="30"/>
    </row>
    <row r="3261" spans="12:12" x14ac:dyDescent="0.5">
      <c r="L3261" s="30"/>
    </row>
    <row r="3262" spans="12:12" x14ac:dyDescent="0.5">
      <c r="L3262" s="30"/>
    </row>
    <row r="3263" spans="12:12" x14ac:dyDescent="0.5">
      <c r="L3263" s="30"/>
    </row>
    <row r="3264" spans="12:12" x14ac:dyDescent="0.5">
      <c r="L3264" s="30"/>
    </row>
    <row r="3265" spans="12:12" x14ac:dyDescent="0.5">
      <c r="L3265" s="30"/>
    </row>
    <row r="3266" spans="12:12" x14ac:dyDescent="0.5">
      <c r="L3266" s="30"/>
    </row>
    <row r="3267" spans="12:12" x14ac:dyDescent="0.5">
      <c r="L3267" s="30"/>
    </row>
    <row r="3268" spans="12:12" x14ac:dyDescent="0.5">
      <c r="L3268" s="30"/>
    </row>
    <row r="3269" spans="12:12" x14ac:dyDescent="0.5">
      <c r="L3269" s="30"/>
    </row>
    <row r="3270" spans="12:12" x14ac:dyDescent="0.5">
      <c r="L3270" s="30"/>
    </row>
    <row r="3271" spans="12:12" x14ac:dyDescent="0.5">
      <c r="L3271" s="30"/>
    </row>
    <row r="3272" spans="12:12" x14ac:dyDescent="0.5">
      <c r="L3272" s="30"/>
    </row>
    <row r="3273" spans="12:12" x14ac:dyDescent="0.5">
      <c r="L3273" s="30"/>
    </row>
    <row r="3274" spans="12:12" x14ac:dyDescent="0.5">
      <c r="L3274" s="30"/>
    </row>
    <row r="3275" spans="12:12" x14ac:dyDescent="0.5">
      <c r="L3275" s="30"/>
    </row>
    <row r="3276" spans="12:12" x14ac:dyDescent="0.5">
      <c r="L3276" s="30"/>
    </row>
    <row r="3277" spans="12:12" x14ac:dyDescent="0.5">
      <c r="L3277" s="30"/>
    </row>
    <row r="3278" spans="12:12" x14ac:dyDescent="0.5">
      <c r="L3278" s="30"/>
    </row>
    <row r="3279" spans="12:12" x14ac:dyDescent="0.5">
      <c r="L3279" s="30"/>
    </row>
    <row r="3280" spans="12:12" x14ac:dyDescent="0.5">
      <c r="L3280" s="30"/>
    </row>
    <row r="3281" spans="12:12" x14ac:dyDescent="0.5">
      <c r="L3281" s="30"/>
    </row>
    <row r="3282" spans="12:12" x14ac:dyDescent="0.5">
      <c r="L3282" s="30"/>
    </row>
    <row r="3283" spans="12:12" x14ac:dyDescent="0.5">
      <c r="L3283" s="30"/>
    </row>
    <row r="3284" spans="12:12" x14ac:dyDescent="0.5">
      <c r="L3284" s="30"/>
    </row>
    <row r="3285" spans="12:12" x14ac:dyDescent="0.5">
      <c r="L3285" s="30"/>
    </row>
    <row r="3286" spans="12:12" x14ac:dyDescent="0.5">
      <c r="L3286" s="30"/>
    </row>
    <row r="3287" spans="12:12" x14ac:dyDescent="0.5">
      <c r="L3287" s="30"/>
    </row>
    <row r="3288" spans="12:12" x14ac:dyDescent="0.5">
      <c r="L3288" s="30"/>
    </row>
    <row r="3289" spans="12:12" x14ac:dyDescent="0.5">
      <c r="L3289" s="30"/>
    </row>
    <row r="3290" spans="12:12" x14ac:dyDescent="0.5">
      <c r="L3290" s="30"/>
    </row>
    <row r="3291" spans="12:12" x14ac:dyDescent="0.5">
      <c r="L3291" s="30"/>
    </row>
    <row r="3292" spans="12:12" x14ac:dyDescent="0.5">
      <c r="L3292" s="30"/>
    </row>
    <row r="3293" spans="12:12" x14ac:dyDescent="0.5">
      <c r="L3293" s="30"/>
    </row>
    <row r="3294" spans="12:12" x14ac:dyDescent="0.5">
      <c r="L3294" s="30"/>
    </row>
    <row r="3295" spans="12:12" x14ac:dyDescent="0.5">
      <c r="L3295" s="30"/>
    </row>
    <row r="3296" spans="12:12" x14ac:dyDescent="0.5">
      <c r="L3296" s="30"/>
    </row>
    <row r="3297" spans="12:12" x14ac:dyDescent="0.5">
      <c r="L3297" s="30"/>
    </row>
    <row r="3298" spans="12:12" x14ac:dyDescent="0.5">
      <c r="L3298" s="30"/>
    </row>
    <row r="3299" spans="12:12" x14ac:dyDescent="0.5">
      <c r="L3299" s="30"/>
    </row>
    <row r="3300" spans="12:12" x14ac:dyDescent="0.5">
      <c r="L3300" s="30"/>
    </row>
    <row r="3301" spans="12:12" x14ac:dyDescent="0.5">
      <c r="L3301" s="30"/>
    </row>
    <row r="3302" spans="12:12" x14ac:dyDescent="0.5">
      <c r="L3302" s="30"/>
    </row>
    <row r="3303" spans="12:12" x14ac:dyDescent="0.5">
      <c r="L3303" s="30"/>
    </row>
    <row r="3304" spans="12:12" x14ac:dyDescent="0.5">
      <c r="L3304" s="30"/>
    </row>
    <row r="3305" spans="12:12" x14ac:dyDescent="0.5">
      <c r="L3305" s="30"/>
    </row>
    <row r="3306" spans="12:12" x14ac:dyDescent="0.5">
      <c r="L3306" s="30"/>
    </row>
    <row r="3307" spans="12:12" x14ac:dyDescent="0.5">
      <c r="L3307" s="30"/>
    </row>
    <row r="3308" spans="12:12" x14ac:dyDescent="0.5">
      <c r="L3308" s="30"/>
    </row>
    <row r="3309" spans="12:12" x14ac:dyDescent="0.5">
      <c r="L3309" s="30"/>
    </row>
    <row r="3310" spans="12:12" x14ac:dyDescent="0.5">
      <c r="L3310" s="30"/>
    </row>
    <row r="3311" spans="12:12" x14ac:dyDescent="0.5">
      <c r="L3311" s="30"/>
    </row>
    <row r="3312" spans="12:12" x14ac:dyDescent="0.5">
      <c r="L3312" s="30"/>
    </row>
    <row r="3313" spans="12:12" x14ac:dyDescent="0.5">
      <c r="L3313" s="30"/>
    </row>
    <row r="3314" spans="12:12" x14ac:dyDescent="0.5">
      <c r="L3314" s="30"/>
    </row>
    <row r="3315" spans="12:12" x14ac:dyDescent="0.5">
      <c r="L3315" s="30"/>
    </row>
    <row r="3316" spans="12:12" x14ac:dyDescent="0.5">
      <c r="L3316" s="30"/>
    </row>
    <row r="3317" spans="12:12" x14ac:dyDescent="0.5">
      <c r="L3317" s="30"/>
    </row>
    <row r="3318" spans="12:12" x14ac:dyDescent="0.5">
      <c r="L3318" s="30"/>
    </row>
    <row r="3319" spans="12:12" x14ac:dyDescent="0.5">
      <c r="L3319" s="30"/>
    </row>
    <row r="3320" spans="12:12" x14ac:dyDescent="0.5">
      <c r="L3320" s="30"/>
    </row>
    <row r="3321" spans="12:12" x14ac:dyDescent="0.5">
      <c r="L3321" s="30"/>
    </row>
    <row r="3322" spans="12:12" x14ac:dyDescent="0.5">
      <c r="L3322" s="30"/>
    </row>
    <row r="3323" spans="12:12" x14ac:dyDescent="0.5">
      <c r="L3323" s="30"/>
    </row>
    <row r="3324" spans="12:12" x14ac:dyDescent="0.5">
      <c r="L3324" s="30"/>
    </row>
    <row r="3325" spans="12:12" x14ac:dyDescent="0.5">
      <c r="L3325" s="30"/>
    </row>
    <row r="3326" spans="12:12" x14ac:dyDescent="0.5">
      <c r="L3326" s="30"/>
    </row>
    <row r="3327" spans="12:12" x14ac:dyDescent="0.5">
      <c r="L3327" s="30"/>
    </row>
    <row r="3328" spans="12:12" x14ac:dyDescent="0.5">
      <c r="L3328" s="30"/>
    </row>
    <row r="3329" spans="12:12" x14ac:dyDescent="0.5">
      <c r="L3329" s="30"/>
    </row>
    <row r="3330" spans="12:12" x14ac:dyDescent="0.5">
      <c r="L3330" s="30"/>
    </row>
    <row r="3331" spans="12:12" x14ac:dyDescent="0.5">
      <c r="L3331" s="30"/>
    </row>
    <row r="3332" spans="12:12" x14ac:dyDescent="0.5">
      <c r="L3332" s="30"/>
    </row>
    <row r="3333" spans="12:12" x14ac:dyDescent="0.5">
      <c r="L3333" s="30"/>
    </row>
    <row r="3334" spans="12:12" x14ac:dyDescent="0.5">
      <c r="L3334" s="30"/>
    </row>
    <row r="3335" spans="12:12" x14ac:dyDescent="0.5">
      <c r="L3335" s="30"/>
    </row>
    <row r="3336" spans="12:12" x14ac:dyDescent="0.5">
      <c r="L3336" s="30"/>
    </row>
    <row r="3337" spans="12:12" x14ac:dyDescent="0.5">
      <c r="L3337" s="30"/>
    </row>
    <row r="3338" spans="12:12" x14ac:dyDescent="0.5">
      <c r="L3338" s="30"/>
    </row>
    <row r="3339" spans="12:12" x14ac:dyDescent="0.5">
      <c r="L3339" s="30"/>
    </row>
    <row r="3340" spans="12:12" x14ac:dyDescent="0.5">
      <c r="L3340" s="30"/>
    </row>
    <row r="3341" spans="12:12" x14ac:dyDescent="0.5">
      <c r="L3341" s="30"/>
    </row>
    <row r="3342" spans="12:12" x14ac:dyDescent="0.5">
      <c r="L3342" s="30"/>
    </row>
    <row r="3343" spans="12:12" x14ac:dyDescent="0.5">
      <c r="L3343" s="30"/>
    </row>
    <row r="3344" spans="12:12" x14ac:dyDescent="0.5">
      <c r="L3344" s="30"/>
    </row>
    <row r="3345" spans="12:12" x14ac:dyDescent="0.5">
      <c r="L3345" s="30"/>
    </row>
    <row r="3346" spans="12:12" x14ac:dyDescent="0.5">
      <c r="L3346" s="30"/>
    </row>
    <row r="3347" spans="12:12" x14ac:dyDescent="0.5">
      <c r="L3347" s="30"/>
    </row>
    <row r="3348" spans="12:12" x14ac:dyDescent="0.5">
      <c r="L3348" s="30"/>
    </row>
    <row r="3349" spans="12:12" x14ac:dyDescent="0.5">
      <c r="L3349" s="30"/>
    </row>
    <row r="3350" spans="12:12" x14ac:dyDescent="0.5">
      <c r="L3350" s="30"/>
    </row>
    <row r="3351" spans="12:12" x14ac:dyDescent="0.5">
      <c r="L3351" s="30"/>
    </row>
    <row r="3352" spans="12:12" x14ac:dyDescent="0.5">
      <c r="L3352" s="30"/>
    </row>
    <row r="3353" spans="12:12" x14ac:dyDescent="0.5">
      <c r="L3353" s="30"/>
    </row>
    <row r="3354" spans="12:12" x14ac:dyDescent="0.5">
      <c r="L3354" s="30"/>
    </row>
    <row r="3355" spans="12:12" x14ac:dyDescent="0.5">
      <c r="L3355" s="30"/>
    </row>
    <row r="3356" spans="12:12" x14ac:dyDescent="0.5">
      <c r="L3356" s="30"/>
    </row>
    <row r="3357" spans="12:12" x14ac:dyDescent="0.5">
      <c r="L3357" s="30"/>
    </row>
    <row r="3358" spans="12:12" x14ac:dyDescent="0.5">
      <c r="L3358" s="30"/>
    </row>
    <row r="3359" spans="12:12" x14ac:dyDescent="0.5">
      <c r="L3359" s="30"/>
    </row>
    <row r="3360" spans="12:12" x14ac:dyDescent="0.5">
      <c r="L3360" s="30"/>
    </row>
    <row r="3361" spans="12:12" x14ac:dyDescent="0.5">
      <c r="L3361" s="30"/>
    </row>
    <row r="3362" spans="12:12" x14ac:dyDescent="0.5">
      <c r="L3362" s="30"/>
    </row>
    <row r="3363" spans="12:12" x14ac:dyDescent="0.5">
      <c r="L3363" s="30"/>
    </row>
    <row r="3364" spans="12:12" x14ac:dyDescent="0.5">
      <c r="L3364" s="30"/>
    </row>
    <row r="3365" spans="12:12" x14ac:dyDescent="0.5">
      <c r="L3365" s="30"/>
    </row>
    <row r="3366" spans="12:12" x14ac:dyDescent="0.5">
      <c r="L3366" s="30"/>
    </row>
    <row r="3367" spans="12:12" x14ac:dyDescent="0.5">
      <c r="L3367" s="30"/>
    </row>
    <row r="3368" spans="12:12" x14ac:dyDescent="0.5">
      <c r="L3368" s="30"/>
    </row>
    <row r="3369" spans="12:12" x14ac:dyDescent="0.5">
      <c r="L3369" s="30"/>
    </row>
    <row r="3370" spans="12:12" x14ac:dyDescent="0.5">
      <c r="L3370" s="30"/>
    </row>
    <row r="3371" spans="12:12" x14ac:dyDescent="0.5">
      <c r="L3371" s="30"/>
    </row>
    <row r="3372" spans="12:12" x14ac:dyDescent="0.5">
      <c r="L3372" s="30"/>
    </row>
    <row r="3373" spans="12:12" x14ac:dyDescent="0.5">
      <c r="L3373" s="30"/>
    </row>
    <row r="3374" spans="12:12" x14ac:dyDescent="0.5">
      <c r="L3374" s="30"/>
    </row>
    <row r="3375" spans="12:12" x14ac:dyDescent="0.5">
      <c r="L3375" s="30"/>
    </row>
    <row r="3376" spans="12:12" x14ac:dyDescent="0.5">
      <c r="L3376" s="30"/>
    </row>
    <row r="3377" spans="12:12" x14ac:dyDescent="0.5">
      <c r="L3377" s="30"/>
    </row>
    <row r="3378" spans="12:12" x14ac:dyDescent="0.5">
      <c r="L3378" s="30"/>
    </row>
    <row r="3379" spans="12:12" x14ac:dyDescent="0.5">
      <c r="L3379" s="30"/>
    </row>
    <row r="3380" spans="12:12" x14ac:dyDescent="0.5">
      <c r="L3380" s="30"/>
    </row>
    <row r="3381" spans="12:12" x14ac:dyDescent="0.5">
      <c r="L3381" s="30"/>
    </row>
    <row r="3382" spans="12:12" x14ac:dyDescent="0.5">
      <c r="L3382" s="30"/>
    </row>
    <row r="3383" spans="12:12" x14ac:dyDescent="0.5">
      <c r="L3383" s="30"/>
    </row>
    <row r="3384" spans="12:12" x14ac:dyDescent="0.5">
      <c r="L3384" s="30"/>
    </row>
    <row r="3385" spans="12:12" x14ac:dyDescent="0.5">
      <c r="L3385" s="30"/>
    </row>
    <row r="3386" spans="12:12" x14ac:dyDescent="0.5">
      <c r="L3386" s="30"/>
    </row>
    <row r="3387" spans="12:12" x14ac:dyDescent="0.5">
      <c r="L3387" s="30"/>
    </row>
    <row r="3388" spans="12:12" x14ac:dyDescent="0.5">
      <c r="L3388" s="30"/>
    </row>
    <row r="3389" spans="12:12" x14ac:dyDescent="0.5">
      <c r="L3389" s="30"/>
    </row>
    <row r="3390" spans="12:12" x14ac:dyDescent="0.5">
      <c r="L3390" s="30"/>
    </row>
    <row r="3391" spans="12:12" x14ac:dyDescent="0.5">
      <c r="L3391" s="30"/>
    </row>
    <row r="3392" spans="12:12" x14ac:dyDescent="0.5">
      <c r="L3392" s="30"/>
    </row>
    <row r="3393" spans="12:12" x14ac:dyDescent="0.5">
      <c r="L3393" s="30"/>
    </row>
    <row r="3394" spans="12:12" x14ac:dyDescent="0.5">
      <c r="L3394" s="30"/>
    </row>
    <row r="3395" spans="12:12" x14ac:dyDescent="0.5">
      <c r="L3395" s="30"/>
    </row>
    <row r="3396" spans="12:12" x14ac:dyDescent="0.5">
      <c r="L3396" s="30"/>
    </row>
    <row r="3397" spans="12:12" x14ac:dyDescent="0.5">
      <c r="L3397" s="30"/>
    </row>
    <row r="3398" spans="12:12" x14ac:dyDescent="0.5">
      <c r="L3398" s="30"/>
    </row>
    <row r="3399" spans="12:12" x14ac:dyDescent="0.5">
      <c r="L3399" s="30"/>
    </row>
    <row r="3400" spans="12:12" x14ac:dyDescent="0.5">
      <c r="L3400" s="30"/>
    </row>
    <row r="3401" spans="12:12" x14ac:dyDescent="0.5">
      <c r="L3401" s="30"/>
    </row>
    <row r="3402" spans="12:12" x14ac:dyDescent="0.5">
      <c r="L3402" s="30"/>
    </row>
    <row r="3403" spans="12:12" x14ac:dyDescent="0.5">
      <c r="L3403" s="30"/>
    </row>
    <row r="3404" spans="12:12" x14ac:dyDescent="0.5">
      <c r="L3404" s="30"/>
    </row>
    <row r="3405" spans="12:12" x14ac:dyDescent="0.5">
      <c r="L3405" s="30"/>
    </row>
    <row r="3406" spans="12:12" x14ac:dyDescent="0.5">
      <c r="L3406" s="30"/>
    </row>
    <row r="3407" spans="12:12" x14ac:dyDescent="0.5">
      <c r="L3407" s="30"/>
    </row>
    <row r="3408" spans="12:12" x14ac:dyDescent="0.5">
      <c r="L3408" s="30"/>
    </row>
    <row r="3409" spans="12:12" x14ac:dyDescent="0.5">
      <c r="L3409" s="30"/>
    </row>
    <row r="3410" spans="12:12" x14ac:dyDescent="0.5">
      <c r="L3410" s="30"/>
    </row>
    <row r="3411" spans="12:12" x14ac:dyDescent="0.5">
      <c r="L3411" s="30"/>
    </row>
    <row r="3412" spans="12:12" x14ac:dyDescent="0.5">
      <c r="L3412" s="30"/>
    </row>
    <row r="3413" spans="12:12" x14ac:dyDescent="0.5">
      <c r="L3413" s="30"/>
    </row>
    <row r="3414" spans="12:12" x14ac:dyDescent="0.5">
      <c r="L3414" s="30"/>
    </row>
    <row r="3415" spans="12:12" x14ac:dyDescent="0.5">
      <c r="L3415" s="30"/>
    </row>
    <row r="3416" spans="12:12" x14ac:dyDescent="0.5">
      <c r="L3416" s="30"/>
    </row>
    <row r="3417" spans="12:12" x14ac:dyDescent="0.5">
      <c r="L3417" s="30"/>
    </row>
    <row r="3418" spans="12:12" x14ac:dyDescent="0.5">
      <c r="L3418" s="30"/>
    </row>
    <row r="3419" spans="12:12" x14ac:dyDescent="0.5">
      <c r="L3419" s="30"/>
    </row>
    <row r="3420" spans="12:12" x14ac:dyDescent="0.5">
      <c r="L3420" s="30"/>
    </row>
    <row r="3421" spans="12:12" x14ac:dyDescent="0.5">
      <c r="L3421" s="30"/>
    </row>
    <row r="3422" spans="12:12" x14ac:dyDescent="0.5">
      <c r="L3422" s="30"/>
    </row>
    <row r="3423" spans="12:12" x14ac:dyDescent="0.5">
      <c r="L3423" s="30"/>
    </row>
    <row r="3424" spans="12:12" x14ac:dyDescent="0.5">
      <c r="L3424" s="30"/>
    </row>
    <row r="3425" spans="12:12" x14ac:dyDescent="0.5">
      <c r="L3425" s="30"/>
    </row>
    <row r="3426" spans="12:12" x14ac:dyDescent="0.5">
      <c r="L3426" s="30"/>
    </row>
    <row r="3427" spans="12:12" x14ac:dyDescent="0.5">
      <c r="L3427" s="30"/>
    </row>
    <row r="3428" spans="12:12" x14ac:dyDescent="0.5">
      <c r="L3428" s="30"/>
    </row>
    <row r="3429" spans="12:12" x14ac:dyDescent="0.5">
      <c r="L3429" s="30"/>
    </row>
    <row r="3430" spans="12:12" x14ac:dyDescent="0.5">
      <c r="L3430" s="30"/>
    </row>
    <row r="3431" spans="12:12" x14ac:dyDescent="0.5">
      <c r="L3431" s="30"/>
    </row>
    <row r="3432" spans="12:12" x14ac:dyDescent="0.5">
      <c r="L3432" s="30"/>
    </row>
    <row r="3433" spans="12:12" x14ac:dyDescent="0.5">
      <c r="L3433" s="30"/>
    </row>
    <row r="3434" spans="12:12" x14ac:dyDescent="0.5">
      <c r="L3434" s="30"/>
    </row>
    <row r="3435" spans="12:12" x14ac:dyDescent="0.5">
      <c r="L3435" s="30"/>
    </row>
    <row r="3436" spans="12:12" x14ac:dyDescent="0.5">
      <c r="L3436" s="30"/>
    </row>
    <row r="3437" spans="12:12" x14ac:dyDescent="0.5">
      <c r="L3437" s="30"/>
    </row>
    <row r="3438" spans="12:12" x14ac:dyDescent="0.5">
      <c r="L3438" s="30"/>
    </row>
    <row r="3439" spans="12:12" x14ac:dyDescent="0.5">
      <c r="L3439" s="30"/>
    </row>
    <row r="3440" spans="12:12" x14ac:dyDescent="0.5">
      <c r="L3440" s="30"/>
    </row>
    <row r="3441" spans="12:12" x14ac:dyDescent="0.5">
      <c r="L3441" s="30"/>
    </row>
    <row r="3442" spans="12:12" x14ac:dyDescent="0.5">
      <c r="L3442" s="30"/>
    </row>
    <row r="3443" spans="12:12" x14ac:dyDescent="0.5">
      <c r="L3443" s="30"/>
    </row>
    <row r="3444" spans="12:12" x14ac:dyDescent="0.5">
      <c r="L3444" s="30"/>
    </row>
    <row r="3445" spans="12:12" x14ac:dyDescent="0.5">
      <c r="L3445" s="30"/>
    </row>
    <row r="3446" spans="12:12" x14ac:dyDescent="0.5">
      <c r="L3446" s="30"/>
    </row>
    <row r="3447" spans="12:12" x14ac:dyDescent="0.5">
      <c r="L3447" s="30"/>
    </row>
    <row r="3448" spans="12:12" x14ac:dyDescent="0.5">
      <c r="L3448" s="30"/>
    </row>
    <row r="3449" spans="12:12" x14ac:dyDescent="0.5">
      <c r="L3449" s="30"/>
    </row>
    <row r="3450" spans="12:12" x14ac:dyDescent="0.5">
      <c r="L3450" s="30"/>
    </row>
    <row r="3451" spans="12:12" x14ac:dyDescent="0.5">
      <c r="L3451" s="30"/>
    </row>
    <row r="3452" spans="12:12" x14ac:dyDescent="0.5">
      <c r="L3452" s="30"/>
    </row>
    <row r="3453" spans="12:12" x14ac:dyDescent="0.5">
      <c r="L3453" s="30"/>
    </row>
    <row r="3454" spans="12:12" x14ac:dyDescent="0.5">
      <c r="L3454" s="30"/>
    </row>
    <row r="3455" spans="12:12" x14ac:dyDescent="0.5">
      <c r="L3455" s="30"/>
    </row>
    <row r="3456" spans="12:12" x14ac:dyDescent="0.5">
      <c r="L3456" s="30"/>
    </row>
    <row r="3457" spans="12:12" x14ac:dyDescent="0.5">
      <c r="L3457" s="30"/>
    </row>
    <row r="3458" spans="12:12" x14ac:dyDescent="0.5">
      <c r="L3458" s="30"/>
    </row>
    <row r="3459" spans="12:12" x14ac:dyDescent="0.5">
      <c r="L3459" s="30"/>
    </row>
    <row r="3460" spans="12:12" x14ac:dyDescent="0.5">
      <c r="L3460" s="30"/>
    </row>
    <row r="3461" spans="12:12" x14ac:dyDescent="0.5">
      <c r="L3461" s="30"/>
    </row>
    <row r="3462" spans="12:12" x14ac:dyDescent="0.5">
      <c r="L3462" s="30"/>
    </row>
    <row r="3463" spans="12:12" x14ac:dyDescent="0.5">
      <c r="L3463" s="30"/>
    </row>
    <row r="3464" spans="12:12" x14ac:dyDescent="0.5">
      <c r="L3464" s="30"/>
    </row>
    <row r="3465" spans="12:12" x14ac:dyDescent="0.5">
      <c r="L3465" s="30"/>
    </row>
    <row r="3466" spans="12:12" x14ac:dyDescent="0.5">
      <c r="L3466" s="30"/>
    </row>
    <row r="3467" spans="12:12" x14ac:dyDescent="0.5">
      <c r="L3467" s="30"/>
    </row>
    <row r="3468" spans="12:12" x14ac:dyDescent="0.5">
      <c r="L3468" s="30"/>
    </row>
    <row r="3469" spans="12:12" x14ac:dyDescent="0.5">
      <c r="L3469" s="30"/>
    </row>
    <row r="3470" spans="12:12" x14ac:dyDescent="0.5">
      <c r="L3470" s="30"/>
    </row>
    <row r="3471" spans="12:12" x14ac:dyDescent="0.5">
      <c r="L3471" s="30"/>
    </row>
    <row r="3472" spans="12:12" x14ac:dyDescent="0.5">
      <c r="L3472" s="30"/>
    </row>
    <row r="3473" spans="12:12" x14ac:dyDescent="0.5">
      <c r="L3473" s="30"/>
    </row>
    <row r="3474" spans="12:12" x14ac:dyDescent="0.5">
      <c r="L3474" s="30"/>
    </row>
    <row r="3475" spans="12:12" x14ac:dyDescent="0.5">
      <c r="L3475" s="30"/>
    </row>
    <row r="3476" spans="12:12" x14ac:dyDescent="0.5">
      <c r="L3476" s="30"/>
    </row>
    <row r="3477" spans="12:12" x14ac:dyDescent="0.5">
      <c r="L3477" s="30"/>
    </row>
    <row r="3478" spans="12:12" x14ac:dyDescent="0.5">
      <c r="L3478" s="30"/>
    </row>
    <row r="3479" spans="12:12" x14ac:dyDescent="0.5">
      <c r="L3479" s="30"/>
    </row>
    <row r="3480" spans="12:12" x14ac:dyDescent="0.5">
      <c r="L3480" s="30"/>
    </row>
    <row r="3481" spans="12:12" x14ac:dyDescent="0.5">
      <c r="L3481" s="30"/>
    </row>
    <row r="3482" spans="12:12" x14ac:dyDescent="0.5">
      <c r="L3482" s="30"/>
    </row>
    <row r="3483" spans="12:12" x14ac:dyDescent="0.5">
      <c r="L3483" s="30"/>
    </row>
    <row r="3484" spans="12:12" x14ac:dyDescent="0.5">
      <c r="L3484" s="30"/>
    </row>
    <row r="3485" spans="12:12" x14ac:dyDescent="0.5">
      <c r="L3485" s="30"/>
    </row>
    <row r="3486" spans="12:12" x14ac:dyDescent="0.5">
      <c r="L3486" s="30"/>
    </row>
    <row r="3487" spans="12:12" x14ac:dyDescent="0.5">
      <c r="L3487" s="30"/>
    </row>
    <row r="3488" spans="12:12" x14ac:dyDescent="0.5">
      <c r="L3488" s="30"/>
    </row>
    <row r="3489" spans="12:12" x14ac:dyDescent="0.5">
      <c r="L3489" s="30"/>
    </row>
    <row r="3490" spans="12:12" x14ac:dyDescent="0.5">
      <c r="L3490" s="30"/>
    </row>
    <row r="3491" spans="12:12" x14ac:dyDescent="0.5">
      <c r="L3491" s="30"/>
    </row>
    <row r="3492" spans="12:12" x14ac:dyDescent="0.5">
      <c r="L3492" s="30"/>
    </row>
    <row r="3493" spans="12:12" x14ac:dyDescent="0.5">
      <c r="L3493" s="30"/>
    </row>
    <row r="3494" spans="12:12" x14ac:dyDescent="0.5">
      <c r="L3494" s="30"/>
    </row>
    <row r="3495" spans="12:12" x14ac:dyDescent="0.5">
      <c r="L3495" s="30"/>
    </row>
    <row r="3496" spans="12:12" x14ac:dyDescent="0.5">
      <c r="L3496" s="30"/>
    </row>
    <row r="3497" spans="12:12" x14ac:dyDescent="0.5">
      <c r="L3497" s="30"/>
    </row>
    <row r="3498" spans="12:12" x14ac:dyDescent="0.5">
      <c r="L3498" s="30"/>
    </row>
    <row r="3499" spans="12:12" x14ac:dyDescent="0.5">
      <c r="L3499" s="30"/>
    </row>
    <row r="3500" spans="12:12" x14ac:dyDescent="0.5">
      <c r="L3500" s="30"/>
    </row>
    <row r="3501" spans="12:12" x14ac:dyDescent="0.5">
      <c r="L3501" s="30"/>
    </row>
    <row r="3502" spans="12:12" x14ac:dyDescent="0.5">
      <c r="L3502" s="30"/>
    </row>
    <row r="3503" spans="12:12" x14ac:dyDescent="0.5">
      <c r="L3503" s="30"/>
    </row>
    <row r="3504" spans="12:12" x14ac:dyDescent="0.5">
      <c r="L3504" s="30"/>
    </row>
    <row r="3505" spans="12:12" x14ac:dyDescent="0.5">
      <c r="L3505" s="30"/>
    </row>
    <row r="3506" spans="12:12" x14ac:dyDescent="0.5">
      <c r="L3506" s="30"/>
    </row>
    <row r="3507" spans="12:12" x14ac:dyDescent="0.5">
      <c r="L3507" s="30"/>
    </row>
    <row r="3508" spans="12:12" x14ac:dyDescent="0.5">
      <c r="L3508" s="30"/>
    </row>
    <row r="3509" spans="12:12" x14ac:dyDescent="0.5">
      <c r="L3509" s="30"/>
    </row>
    <row r="3510" spans="12:12" x14ac:dyDescent="0.5">
      <c r="L3510" s="30"/>
    </row>
    <row r="3511" spans="12:12" x14ac:dyDescent="0.5">
      <c r="L3511" s="30"/>
    </row>
    <row r="3512" spans="12:12" x14ac:dyDescent="0.5">
      <c r="L3512" s="30"/>
    </row>
    <row r="3513" spans="12:12" x14ac:dyDescent="0.5">
      <c r="L3513" s="30"/>
    </row>
    <row r="3514" spans="12:12" x14ac:dyDescent="0.5">
      <c r="L3514" s="30"/>
    </row>
    <row r="3515" spans="12:12" x14ac:dyDescent="0.5">
      <c r="L3515" s="30"/>
    </row>
    <row r="3516" spans="12:12" x14ac:dyDescent="0.5">
      <c r="L3516" s="30"/>
    </row>
    <row r="3517" spans="12:12" x14ac:dyDescent="0.5">
      <c r="L3517" s="30"/>
    </row>
    <row r="3518" spans="12:12" x14ac:dyDescent="0.5">
      <c r="L3518" s="30"/>
    </row>
    <row r="3519" spans="12:12" x14ac:dyDescent="0.5">
      <c r="L3519" s="30"/>
    </row>
    <row r="3520" spans="12:12" x14ac:dyDescent="0.5">
      <c r="L3520" s="30"/>
    </row>
    <row r="3521" spans="12:12" x14ac:dyDescent="0.5">
      <c r="L3521" s="30"/>
    </row>
    <row r="3522" spans="12:12" x14ac:dyDescent="0.5">
      <c r="L3522" s="30"/>
    </row>
    <row r="3523" spans="12:12" x14ac:dyDescent="0.5">
      <c r="L3523" s="30"/>
    </row>
    <row r="3524" spans="12:12" x14ac:dyDescent="0.5">
      <c r="L3524" s="30"/>
    </row>
    <row r="3525" spans="12:12" x14ac:dyDescent="0.5">
      <c r="L3525" s="30"/>
    </row>
    <row r="3526" spans="12:12" x14ac:dyDescent="0.5">
      <c r="L3526" s="30"/>
    </row>
    <row r="3527" spans="12:12" x14ac:dyDescent="0.5">
      <c r="L3527" s="30"/>
    </row>
    <row r="3528" spans="12:12" x14ac:dyDescent="0.5">
      <c r="L3528" s="30"/>
    </row>
    <row r="3529" spans="12:12" x14ac:dyDescent="0.5">
      <c r="L3529" s="30"/>
    </row>
    <row r="3530" spans="12:12" x14ac:dyDescent="0.5">
      <c r="L3530" s="30"/>
    </row>
    <row r="3531" spans="12:12" x14ac:dyDescent="0.5">
      <c r="L3531" s="30"/>
    </row>
    <row r="3532" spans="12:12" x14ac:dyDescent="0.5">
      <c r="L3532" s="30"/>
    </row>
    <row r="3533" spans="12:12" x14ac:dyDescent="0.5">
      <c r="L3533" s="30"/>
    </row>
    <row r="3534" spans="12:12" x14ac:dyDescent="0.5">
      <c r="L3534" s="30"/>
    </row>
    <row r="3535" spans="12:12" x14ac:dyDescent="0.5">
      <c r="L3535" s="30"/>
    </row>
    <row r="3536" spans="12:12" x14ac:dyDescent="0.5">
      <c r="L3536" s="30"/>
    </row>
    <row r="3537" spans="12:12" x14ac:dyDescent="0.5">
      <c r="L3537" s="30"/>
    </row>
    <row r="3538" spans="12:12" x14ac:dyDescent="0.5">
      <c r="L3538" s="30"/>
    </row>
    <row r="3539" spans="12:12" x14ac:dyDescent="0.5">
      <c r="L3539" s="30"/>
    </row>
    <row r="3540" spans="12:12" x14ac:dyDescent="0.5">
      <c r="L3540" s="30"/>
    </row>
    <row r="3541" spans="12:12" x14ac:dyDescent="0.5">
      <c r="L3541" s="30"/>
    </row>
    <row r="3542" spans="12:12" x14ac:dyDescent="0.5">
      <c r="L3542" s="30"/>
    </row>
    <row r="3543" spans="12:12" x14ac:dyDescent="0.5">
      <c r="L3543" s="30"/>
    </row>
    <row r="3544" spans="12:12" x14ac:dyDescent="0.5">
      <c r="L3544" s="30"/>
    </row>
    <row r="3545" spans="12:12" x14ac:dyDescent="0.5">
      <c r="L3545" s="30"/>
    </row>
    <row r="3546" spans="12:12" x14ac:dyDescent="0.5">
      <c r="L3546" s="30"/>
    </row>
    <row r="3547" spans="12:12" x14ac:dyDescent="0.5">
      <c r="L3547" s="30"/>
    </row>
    <row r="3548" spans="12:12" x14ac:dyDescent="0.5">
      <c r="L3548" s="30"/>
    </row>
    <row r="3549" spans="12:12" x14ac:dyDescent="0.5">
      <c r="L3549" s="30"/>
    </row>
    <row r="3550" spans="12:12" x14ac:dyDescent="0.5">
      <c r="L3550" s="30"/>
    </row>
    <row r="3551" spans="12:12" x14ac:dyDescent="0.5">
      <c r="L3551" s="30"/>
    </row>
    <row r="3552" spans="12:12" x14ac:dyDescent="0.5">
      <c r="L3552" s="30"/>
    </row>
    <row r="3553" spans="12:12" x14ac:dyDescent="0.5">
      <c r="L3553" s="30"/>
    </row>
    <row r="3554" spans="12:12" x14ac:dyDescent="0.5">
      <c r="L3554" s="30"/>
    </row>
    <row r="3555" spans="12:12" x14ac:dyDescent="0.5">
      <c r="L3555" s="30"/>
    </row>
    <row r="3556" spans="12:12" x14ac:dyDescent="0.5">
      <c r="L3556" s="30"/>
    </row>
    <row r="3557" spans="12:12" x14ac:dyDescent="0.5">
      <c r="L3557" s="30"/>
    </row>
    <row r="3558" spans="12:12" x14ac:dyDescent="0.5">
      <c r="L3558" s="30"/>
    </row>
    <row r="3559" spans="12:12" x14ac:dyDescent="0.5">
      <c r="L3559" s="30"/>
    </row>
    <row r="3560" spans="12:12" x14ac:dyDescent="0.5">
      <c r="L3560" s="30"/>
    </row>
    <row r="3561" spans="12:12" x14ac:dyDescent="0.5">
      <c r="L3561" s="30"/>
    </row>
    <row r="3562" spans="12:12" x14ac:dyDescent="0.5">
      <c r="L3562" s="30"/>
    </row>
    <row r="3563" spans="12:12" x14ac:dyDescent="0.5">
      <c r="L3563" s="30"/>
    </row>
    <row r="3564" spans="12:12" x14ac:dyDescent="0.5">
      <c r="L3564" s="30"/>
    </row>
    <row r="3565" spans="12:12" x14ac:dyDescent="0.5">
      <c r="L3565" s="30"/>
    </row>
    <row r="3566" spans="12:12" x14ac:dyDescent="0.5">
      <c r="L3566" s="30"/>
    </row>
    <row r="3567" spans="12:12" x14ac:dyDescent="0.5">
      <c r="L3567" s="30"/>
    </row>
    <row r="3568" spans="12:12" x14ac:dyDescent="0.5">
      <c r="L3568" s="30"/>
    </row>
    <row r="3569" spans="12:12" x14ac:dyDescent="0.5">
      <c r="L3569" s="30"/>
    </row>
    <row r="3570" spans="12:12" x14ac:dyDescent="0.5">
      <c r="L3570" s="30"/>
    </row>
    <row r="3571" spans="12:12" x14ac:dyDescent="0.5">
      <c r="L3571" s="30"/>
    </row>
    <row r="3572" spans="12:12" x14ac:dyDescent="0.5">
      <c r="L3572" s="30"/>
    </row>
    <row r="3573" spans="12:12" x14ac:dyDescent="0.5">
      <c r="L3573" s="30"/>
    </row>
    <row r="3574" spans="12:12" x14ac:dyDescent="0.5">
      <c r="L3574" s="30"/>
    </row>
    <row r="3575" spans="12:12" x14ac:dyDescent="0.5">
      <c r="L3575" s="30"/>
    </row>
    <row r="3576" spans="12:12" x14ac:dyDescent="0.5">
      <c r="L3576" s="30"/>
    </row>
    <row r="3577" spans="12:12" x14ac:dyDescent="0.5">
      <c r="L3577" s="30"/>
    </row>
    <row r="3578" spans="12:12" x14ac:dyDescent="0.5">
      <c r="L3578" s="30"/>
    </row>
    <row r="3579" spans="12:12" x14ac:dyDescent="0.5">
      <c r="L3579" s="30"/>
    </row>
    <row r="3580" spans="12:12" x14ac:dyDescent="0.5">
      <c r="L3580" s="30"/>
    </row>
    <row r="3581" spans="12:12" x14ac:dyDescent="0.5">
      <c r="L3581" s="30"/>
    </row>
    <row r="3582" spans="12:12" x14ac:dyDescent="0.5">
      <c r="L3582" s="30"/>
    </row>
    <row r="3583" spans="12:12" x14ac:dyDescent="0.5">
      <c r="L3583" s="30"/>
    </row>
    <row r="3584" spans="12:12" x14ac:dyDescent="0.5">
      <c r="L3584" s="30"/>
    </row>
    <row r="3585" spans="12:12" x14ac:dyDescent="0.5">
      <c r="L3585" s="30"/>
    </row>
    <row r="3586" spans="12:12" x14ac:dyDescent="0.5">
      <c r="L3586" s="30"/>
    </row>
    <row r="3587" spans="12:12" x14ac:dyDescent="0.5">
      <c r="L3587" s="30"/>
    </row>
    <row r="3588" spans="12:12" x14ac:dyDescent="0.5">
      <c r="L3588" s="30"/>
    </row>
    <row r="3589" spans="12:12" x14ac:dyDescent="0.5">
      <c r="L3589" s="30"/>
    </row>
    <row r="3590" spans="12:12" x14ac:dyDescent="0.5">
      <c r="L3590" s="30"/>
    </row>
    <row r="3591" spans="12:12" x14ac:dyDescent="0.5">
      <c r="L3591" s="30"/>
    </row>
    <row r="3592" spans="12:12" x14ac:dyDescent="0.5">
      <c r="L3592" s="30"/>
    </row>
    <row r="3593" spans="12:12" x14ac:dyDescent="0.5">
      <c r="L3593" s="30"/>
    </row>
    <row r="3594" spans="12:12" x14ac:dyDescent="0.5">
      <c r="L3594" s="30"/>
    </row>
    <row r="3595" spans="12:12" x14ac:dyDescent="0.5">
      <c r="L3595" s="30"/>
    </row>
    <row r="3596" spans="12:12" x14ac:dyDescent="0.5">
      <c r="L3596" s="30"/>
    </row>
    <row r="3597" spans="12:12" x14ac:dyDescent="0.5">
      <c r="L3597" s="30"/>
    </row>
    <row r="3598" spans="12:12" x14ac:dyDescent="0.5">
      <c r="L3598" s="30"/>
    </row>
    <row r="3599" spans="12:12" x14ac:dyDescent="0.5">
      <c r="L3599" s="30"/>
    </row>
    <row r="3600" spans="12:12" x14ac:dyDescent="0.5">
      <c r="L3600" s="30"/>
    </row>
    <row r="3601" spans="12:12" x14ac:dyDescent="0.5">
      <c r="L3601" s="30"/>
    </row>
    <row r="3602" spans="12:12" x14ac:dyDescent="0.5">
      <c r="L3602" s="30"/>
    </row>
    <row r="3603" spans="12:12" x14ac:dyDescent="0.5">
      <c r="L3603" s="30"/>
    </row>
    <row r="3604" spans="12:12" x14ac:dyDescent="0.5">
      <c r="L3604" s="30"/>
    </row>
    <row r="3605" spans="12:12" x14ac:dyDescent="0.5">
      <c r="L3605" s="30"/>
    </row>
    <row r="3606" spans="12:12" x14ac:dyDescent="0.5">
      <c r="L3606" s="30"/>
    </row>
    <row r="3607" spans="12:12" x14ac:dyDescent="0.5">
      <c r="L3607" s="30"/>
    </row>
    <row r="3608" spans="12:12" x14ac:dyDescent="0.5">
      <c r="L3608" s="30"/>
    </row>
    <row r="3609" spans="12:12" x14ac:dyDescent="0.5">
      <c r="L3609" s="30"/>
    </row>
    <row r="3610" spans="12:12" x14ac:dyDescent="0.5">
      <c r="L3610" s="30"/>
    </row>
    <row r="3611" spans="12:12" x14ac:dyDescent="0.5">
      <c r="L3611" s="30"/>
    </row>
    <row r="3612" spans="12:12" x14ac:dyDescent="0.5">
      <c r="L3612" s="30"/>
    </row>
    <row r="3613" spans="12:12" x14ac:dyDescent="0.5">
      <c r="L3613" s="30"/>
    </row>
    <row r="3614" spans="12:12" x14ac:dyDescent="0.5">
      <c r="L3614" s="30"/>
    </row>
    <row r="3615" spans="12:12" x14ac:dyDescent="0.5">
      <c r="L3615" s="30"/>
    </row>
    <row r="3616" spans="12:12" x14ac:dyDescent="0.5">
      <c r="L3616" s="30"/>
    </row>
    <row r="3617" spans="12:12" x14ac:dyDescent="0.5">
      <c r="L3617" s="30"/>
    </row>
    <row r="3618" spans="12:12" x14ac:dyDescent="0.5">
      <c r="L3618" s="30"/>
    </row>
    <row r="3619" spans="12:12" x14ac:dyDescent="0.5">
      <c r="L3619" s="30"/>
    </row>
    <row r="3620" spans="12:12" x14ac:dyDescent="0.5">
      <c r="L3620" s="30"/>
    </row>
    <row r="3621" spans="12:12" x14ac:dyDescent="0.5">
      <c r="L3621" s="30"/>
    </row>
    <row r="3622" spans="12:12" x14ac:dyDescent="0.5">
      <c r="L3622" s="30"/>
    </row>
    <row r="3623" spans="12:12" x14ac:dyDescent="0.5">
      <c r="L3623" s="30"/>
    </row>
    <row r="3624" spans="12:12" x14ac:dyDescent="0.5">
      <c r="L3624" s="30"/>
    </row>
    <row r="3625" spans="12:12" x14ac:dyDescent="0.5">
      <c r="L3625" s="30"/>
    </row>
    <row r="3626" spans="12:12" x14ac:dyDescent="0.5">
      <c r="L3626" s="30"/>
    </row>
    <row r="3627" spans="12:12" x14ac:dyDescent="0.5">
      <c r="L3627" s="30"/>
    </row>
    <row r="3628" spans="12:12" x14ac:dyDescent="0.5">
      <c r="L3628" s="30"/>
    </row>
    <row r="3629" spans="12:12" x14ac:dyDescent="0.5">
      <c r="L3629" s="30"/>
    </row>
    <row r="3630" spans="12:12" x14ac:dyDescent="0.5">
      <c r="L3630" s="30"/>
    </row>
    <row r="3631" spans="12:12" x14ac:dyDescent="0.5">
      <c r="L3631" s="30"/>
    </row>
    <row r="3632" spans="12:12" x14ac:dyDescent="0.5">
      <c r="L3632" s="30"/>
    </row>
    <row r="3633" spans="12:12" x14ac:dyDescent="0.5">
      <c r="L3633" s="30"/>
    </row>
    <row r="3634" spans="12:12" x14ac:dyDescent="0.5">
      <c r="L3634" s="30"/>
    </row>
    <row r="3635" spans="12:12" x14ac:dyDescent="0.5">
      <c r="L3635" s="30"/>
    </row>
    <row r="3636" spans="12:12" x14ac:dyDescent="0.5">
      <c r="L3636" s="30"/>
    </row>
    <row r="3637" spans="12:12" x14ac:dyDescent="0.5">
      <c r="L3637" s="30"/>
    </row>
    <row r="3638" spans="12:12" x14ac:dyDescent="0.5">
      <c r="L3638" s="30"/>
    </row>
    <row r="3639" spans="12:12" x14ac:dyDescent="0.5">
      <c r="L3639" s="30"/>
    </row>
    <row r="3640" spans="12:12" x14ac:dyDescent="0.5">
      <c r="L3640" s="30"/>
    </row>
    <row r="3641" spans="12:12" x14ac:dyDescent="0.5">
      <c r="L3641" s="30"/>
    </row>
    <row r="3642" spans="12:12" x14ac:dyDescent="0.5">
      <c r="L3642" s="30"/>
    </row>
    <row r="3643" spans="12:12" x14ac:dyDescent="0.5">
      <c r="L3643" s="30"/>
    </row>
    <row r="3644" spans="12:12" x14ac:dyDescent="0.5">
      <c r="L3644" s="30"/>
    </row>
    <row r="3645" spans="12:12" x14ac:dyDescent="0.5">
      <c r="L3645" s="30"/>
    </row>
    <row r="3646" spans="12:12" x14ac:dyDescent="0.5">
      <c r="L3646" s="30"/>
    </row>
    <row r="3647" spans="12:12" x14ac:dyDescent="0.5">
      <c r="L3647" s="30"/>
    </row>
    <row r="3648" spans="12:12" x14ac:dyDescent="0.5">
      <c r="L3648" s="30"/>
    </row>
    <row r="3649" spans="12:12" x14ac:dyDescent="0.5">
      <c r="L3649" s="30"/>
    </row>
    <row r="3650" spans="12:12" x14ac:dyDescent="0.5">
      <c r="L3650" s="30"/>
    </row>
    <row r="3651" spans="12:12" x14ac:dyDescent="0.5">
      <c r="L3651" s="30"/>
    </row>
    <row r="3652" spans="12:12" x14ac:dyDescent="0.5">
      <c r="L3652" s="30"/>
    </row>
    <row r="3653" spans="12:12" x14ac:dyDescent="0.5">
      <c r="L3653" s="30"/>
    </row>
    <row r="3654" spans="12:12" x14ac:dyDescent="0.5">
      <c r="L3654" s="30"/>
    </row>
    <row r="3655" spans="12:12" x14ac:dyDescent="0.5">
      <c r="L3655" s="30"/>
    </row>
    <row r="3656" spans="12:12" x14ac:dyDescent="0.5">
      <c r="L3656" s="30"/>
    </row>
    <row r="3657" spans="12:12" x14ac:dyDescent="0.5">
      <c r="L3657" s="30"/>
    </row>
    <row r="3658" spans="12:12" x14ac:dyDescent="0.5">
      <c r="L3658" s="30"/>
    </row>
    <row r="3659" spans="12:12" x14ac:dyDescent="0.5">
      <c r="L3659" s="30"/>
    </row>
    <row r="3660" spans="12:12" x14ac:dyDescent="0.5">
      <c r="L3660" s="30"/>
    </row>
    <row r="3661" spans="12:12" x14ac:dyDescent="0.5">
      <c r="L3661" s="30"/>
    </row>
    <row r="3662" spans="12:12" x14ac:dyDescent="0.5">
      <c r="L3662" s="30"/>
    </row>
    <row r="3663" spans="12:12" x14ac:dyDescent="0.5">
      <c r="L3663" s="30"/>
    </row>
    <row r="3664" spans="12:12" x14ac:dyDescent="0.5">
      <c r="L3664" s="30"/>
    </row>
    <row r="3665" spans="12:12" x14ac:dyDescent="0.5">
      <c r="L3665" s="30"/>
    </row>
    <row r="3666" spans="12:12" x14ac:dyDescent="0.5">
      <c r="L3666" s="30"/>
    </row>
    <row r="3667" spans="12:12" x14ac:dyDescent="0.5">
      <c r="L3667" s="30"/>
    </row>
    <row r="3668" spans="12:12" x14ac:dyDescent="0.5">
      <c r="L3668" s="30"/>
    </row>
    <row r="3669" spans="12:12" x14ac:dyDescent="0.5">
      <c r="L3669" s="30"/>
    </row>
    <row r="3670" spans="12:12" x14ac:dyDescent="0.5">
      <c r="L3670" s="30"/>
    </row>
    <row r="3671" spans="12:12" x14ac:dyDescent="0.5">
      <c r="L3671" s="30"/>
    </row>
    <row r="3672" spans="12:12" x14ac:dyDescent="0.5">
      <c r="L3672" s="30"/>
    </row>
    <row r="3673" spans="12:12" x14ac:dyDescent="0.5">
      <c r="L3673" s="30"/>
    </row>
    <row r="3674" spans="12:12" x14ac:dyDescent="0.5">
      <c r="L3674" s="30"/>
    </row>
    <row r="3675" spans="12:12" x14ac:dyDescent="0.5">
      <c r="L3675" s="30"/>
    </row>
    <row r="3676" spans="12:12" x14ac:dyDescent="0.5">
      <c r="L3676" s="30"/>
    </row>
    <row r="3677" spans="12:12" x14ac:dyDescent="0.5">
      <c r="L3677" s="30"/>
    </row>
    <row r="3678" spans="12:12" x14ac:dyDescent="0.5">
      <c r="L3678" s="30"/>
    </row>
    <row r="3679" spans="12:12" x14ac:dyDescent="0.5">
      <c r="L3679" s="30"/>
    </row>
    <row r="3680" spans="12:12" x14ac:dyDescent="0.5">
      <c r="L3680" s="30"/>
    </row>
    <row r="3681" spans="12:12" x14ac:dyDescent="0.5">
      <c r="L3681" s="30"/>
    </row>
    <row r="3682" spans="12:12" x14ac:dyDescent="0.5">
      <c r="L3682" s="30"/>
    </row>
    <row r="3683" spans="12:12" x14ac:dyDescent="0.5">
      <c r="L3683" s="30"/>
    </row>
    <row r="3684" spans="12:12" x14ac:dyDescent="0.5">
      <c r="L3684" s="30"/>
    </row>
    <row r="3685" spans="12:12" x14ac:dyDescent="0.5">
      <c r="L3685" s="30"/>
    </row>
    <row r="3686" spans="12:12" x14ac:dyDescent="0.5">
      <c r="L3686" s="30"/>
    </row>
    <row r="3687" spans="12:12" x14ac:dyDescent="0.5">
      <c r="L3687" s="30"/>
    </row>
    <row r="3688" spans="12:12" x14ac:dyDescent="0.5">
      <c r="L3688" s="30"/>
    </row>
    <row r="3689" spans="12:12" x14ac:dyDescent="0.5">
      <c r="L3689" s="30"/>
    </row>
    <row r="3690" spans="12:12" x14ac:dyDescent="0.5">
      <c r="L3690" s="30"/>
    </row>
    <row r="3691" spans="12:12" x14ac:dyDescent="0.5">
      <c r="L3691" s="30"/>
    </row>
    <row r="3692" spans="12:12" x14ac:dyDescent="0.5">
      <c r="L3692" s="30"/>
    </row>
    <row r="3693" spans="12:12" x14ac:dyDescent="0.5">
      <c r="L3693" s="30"/>
    </row>
    <row r="3694" spans="12:12" x14ac:dyDescent="0.5">
      <c r="L3694" s="30"/>
    </row>
    <row r="3695" spans="12:12" x14ac:dyDescent="0.5">
      <c r="L3695" s="30"/>
    </row>
    <row r="3696" spans="12:12" x14ac:dyDescent="0.5">
      <c r="L3696" s="30"/>
    </row>
    <row r="3697" spans="12:12" x14ac:dyDescent="0.5">
      <c r="L3697" s="30"/>
    </row>
    <row r="3698" spans="12:12" x14ac:dyDescent="0.5">
      <c r="L3698" s="30"/>
    </row>
    <row r="3699" spans="12:12" x14ac:dyDescent="0.5">
      <c r="L3699" s="30"/>
    </row>
    <row r="3700" spans="12:12" x14ac:dyDescent="0.5">
      <c r="L3700" s="30"/>
    </row>
    <row r="3701" spans="12:12" x14ac:dyDescent="0.5">
      <c r="L3701" s="30"/>
    </row>
    <row r="3702" spans="12:12" x14ac:dyDescent="0.5">
      <c r="L3702" s="30"/>
    </row>
    <row r="3703" spans="12:12" x14ac:dyDescent="0.5">
      <c r="L3703" s="30"/>
    </row>
    <row r="3704" spans="12:12" x14ac:dyDescent="0.5">
      <c r="L3704" s="30"/>
    </row>
    <row r="3705" spans="12:12" x14ac:dyDescent="0.5">
      <c r="L3705" s="30"/>
    </row>
    <row r="3706" spans="12:12" x14ac:dyDescent="0.5">
      <c r="L3706" s="30"/>
    </row>
    <row r="3707" spans="12:12" x14ac:dyDescent="0.5">
      <c r="L3707" s="30"/>
    </row>
    <row r="3708" spans="12:12" x14ac:dyDescent="0.5">
      <c r="L3708" s="30"/>
    </row>
    <row r="3709" spans="12:12" x14ac:dyDescent="0.5">
      <c r="L3709" s="30"/>
    </row>
    <row r="3710" spans="12:12" x14ac:dyDescent="0.5">
      <c r="L3710" s="30"/>
    </row>
    <row r="3711" spans="12:12" x14ac:dyDescent="0.5">
      <c r="L3711" s="30"/>
    </row>
    <row r="3712" spans="12:12" x14ac:dyDescent="0.5">
      <c r="L3712" s="30"/>
    </row>
    <row r="3713" spans="12:12" x14ac:dyDescent="0.5">
      <c r="L3713" s="30"/>
    </row>
    <row r="3714" spans="12:12" x14ac:dyDescent="0.5">
      <c r="L3714" s="30"/>
    </row>
    <row r="3715" spans="12:12" x14ac:dyDescent="0.5">
      <c r="L3715" s="30"/>
    </row>
    <row r="3716" spans="12:12" x14ac:dyDescent="0.5">
      <c r="L3716" s="30"/>
    </row>
    <row r="3717" spans="12:12" x14ac:dyDescent="0.5">
      <c r="L3717" s="30"/>
    </row>
    <row r="3718" spans="12:12" x14ac:dyDescent="0.5">
      <c r="L3718" s="30"/>
    </row>
    <row r="3719" spans="12:12" x14ac:dyDescent="0.5">
      <c r="L3719" s="30"/>
    </row>
    <row r="3720" spans="12:12" x14ac:dyDescent="0.5">
      <c r="L3720" s="30"/>
    </row>
    <row r="3721" spans="12:12" x14ac:dyDescent="0.5">
      <c r="L3721" s="30"/>
    </row>
    <row r="3722" spans="12:12" x14ac:dyDescent="0.5">
      <c r="L3722" s="30"/>
    </row>
    <row r="3723" spans="12:12" x14ac:dyDescent="0.5">
      <c r="L3723" s="30"/>
    </row>
    <row r="3724" spans="12:12" x14ac:dyDescent="0.5">
      <c r="L3724" s="30"/>
    </row>
    <row r="3725" spans="12:12" x14ac:dyDescent="0.5">
      <c r="L3725" s="30"/>
    </row>
    <row r="3726" spans="12:12" x14ac:dyDescent="0.5">
      <c r="L3726" s="30"/>
    </row>
    <row r="3727" spans="12:12" x14ac:dyDescent="0.5">
      <c r="L3727" s="30"/>
    </row>
    <row r="3728" spans="12:12" x14ac:dyDescent="0.5">
      <c r="L3728" s="30"/>
    </row>
    <row r="3729" spans="12:12" x14ac:dyDescent="0.5">
      <c r="L3729" s="30"/>
    </row>
    <row r="3730" spans="12:12" x14ac:dyDescent="0.5">
      <c r="L3730" s="30"/>
    </row>
    <row r="3731" spans="12:12" x14ac:dyDescent="0.5">
      <c r="L3731" s="30"/>
    </row>
    <row r="3732" spans="12:12" x14ac:dyDescent="0.5">
      <c r="L3732" s="30"/>
    </row>
    <row r="3733" spans="12:12" x14ac:dyDescent="0.5">
      <c r="L3733" s="30"/>
    </row>
    <row r="3734" spans="12:12" x14ac:dyDescent="0.5">
      <c r="L3734" s="30"/>
    </row>
    <row r="3735" spans="12:12" x14ac:dyDescent="0.5">
      <c r="L3735" s="30"/>
    </row>
    <row r="3736" spans="12:12" x14ac:dyDescent="0.5">
      <c r="L3736" s="30"/>
    </row>
    <row r="3737" spans="12:12" x14ac:dyDescent="0.5">
      <c r="L3737" s="30"/>
    </row>
    <row r="3738" spans="12:12" x14ac:dyDescent="0.5">
      <c r="L3738" s="30"/>
    </row>
    <row r="3739" spans="12:12" x14ac:dyDescent="0.5">
      <c r="L3739" s="30"/>
    </row>
    <row r="3740" spans="12:12" x14ac:dyDescent="0.5">
      <c r="L3740" s="30"/>
    </row>
    <row r="3741" spans="12:12" x14ac:dyDescent="0.5">
      <c r="L3741" s="30"/>
    </row>
    <row r="3742" spans="12:12" x14ac:dyDescent="0.5">
      <c r="L3742" s="30"/>
    </row>
    <row r="3743" spans="12:12" x14ac:dyDescent="0.5">
      <c r="L3743" s="30"/>
    </row>
    <row r="3744" spans="12:12" x14ac:dyDescent="0.5">
      <c r="L3744" s="30"/>
    </row>
    <row r="3745" spans="12:12" x14ac:dyDescent="0.5">
      <c r="L3745" s="30"/>
    </row>
    <row r="3746" spans="12:12" x14ac:dyDescent="0.5">
      <c r="L3746" s="30"/>
    </row>
    <row r="3747" spans="12:12" x14ac:dyDescent="0.5">
      <c r="L3747" s="30"/>
    </row>
    <row r="3748" spans="12:12" x14ac:dyDescent="0.5">
      <c r="L3748" s="30"/>
    </row>
    <row r="3749" spans="12:12" x14ac:dyDescent="0.5">
      <c r="L3749" s="30"/>
    </row>
    <row r="3750" spans="12:12" x14ac:dyDescent="0.5">
      <c r="L3750" s="30"/>
    </row>
    <row r="3751" spans="12:12" x14ac:dyDescent="0.5">
      <c r="L3751" s="30"/>
    </row>
    <row r="3752" spans="12:12" x14ac:dyDescent="0.5">
      <c r="L3752" s="30"/>
    </row>
    <row r="3753" spans="12:12" x14ac:dyDescent="0.5">
      <c r="L3753" s="30"/>
    </row>
    <row r="3754" spans="12:12" x14ac:dyDescent="0.5">
      <c r="L3754" s="30"/>
    </row>
    <row r="3755" spans="12:12" x14ac:dyDescent="0.5">
      <c r="L3755" s="30"/>
    </row>
    <row r="3756" spans="12:12" x14ac:dyDescent="0.5">
      <c r="L3756" s="30"/>
    </row>
    <row r="3757" spans="12:12" x14ac:dyDescent="0.5">
      <c r="L3757" s="30"/>
    </row>
    <row r="3758" spans="12:12" x14ac:dyDescent="0.5">
      <c r="L3758" s="30"/>
    </row>
    <row r="3759" spans="12:12" x14ac:dyDescent="0.5">
      <c r="L3759" s="30"/>
    </row>
    <row r="3760" spans="12:12" x14ac:dyDescent="0.5">
      <c r="L3760" s="30"/>
    </row>
    <row r="3761" spans="12:12" x14ac:dyDescent="0.5">
      <c r="L3761" s="30"/>
    </row>
  </sheetData>
  <dataValidations count="1">
    <dataValidation type="list" allowBlank="1" showInputMessage="1" showErrorMessage="1" sqref="U2:U501" xr:uid="{00000000-0002-0000-0300-000000000000}">
      <formula1>$AZ$2:$AZ$5</formula1>
    </dataValidation>
  </dataValidations>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A1:P3"/>
  <sheetViews>
    <sheetView workbookViewId="0">
      <selection activeCell="A13" sqref="A13"/>
    </sheetView>
  </sheetViews>
  <sheetFormatPr defaultColWidth="9.1640625" defaultRowHeight="14.1" x14ac:dyDescent="0.5"/>
  <cols>
    <col min="1" max="1" width="46" style="30" customWidth="1"/>
    <col min="2" max="16384" width="9.1640625" style="80"/>
  </cols>
  <sheetData>
    <row r="1" spans="1:16" x14ac:dyDescent="0.5">
      <c r="A1" s="69" t="s">
        <v>120</v>
      </c>
      <c r="P1" s="80" t="s">
        <v>123</v>
      </c>
    </row>
    <row r="2" spans="1:16" x14ac:dyDescent="0.5">
      <c r="A2" s="30" t="s">
        <v>18</v>
      </c>
      <c r="P2" s="80" t="str">
        <f>'Current Parameters'!A11</f>
        <v>B</v>
      </c>
    </row>
    <row r="3" spans="1:16" x14ac:dyDescent="0.5">
      <c r="A3" s="30" t="s">
        <v>19</v>
      </c>
    </row>
  </sheetData>
  <pageMargins left="0.7" right="0.7" top="0.75" bottom="0.75" header="0.3" footer="0.3"/>
  <pageSetup paperSize="0" orientation="portrait" horizontalDpi="0" verticalDpi="0" copie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Q87"/>
  <sheetViews>
    <sheetView zoomScale="85" zoomScaleNormal="85" workbookViewId="0">
      <selection activeCell="A3" sqref="A3"/>
    </sheetView>
  </sheetViews>
  <sheetFormatPr defaultColWidth="9.1640625" defaultRowHeight="14.1" x14ac:dyDescent="0.5"/>
  <cols>
    <col min="1" max="1" width="18.109375" style="12" customWidth="1"/>
    <col min="2" max="2" width="16.44140625" style="12" bestFit="1" customWidth="1"/>
    <col min="3" max="3" width="9.1640625" style="12"/>
    <col min="4" max="4" width="26.5546875" style="12" customWidth="1"/>
    <col min="5" max="5" width="11.1640625" style="12" bestFit="1" customWidth="1"/>
    <col min="6" max="6" width="12.5546875" style="12" customWidth="1"/>
    <col min="7" max="7" width="1.71875" style="12" customWidth="1"/>
    <col min="8" max="8" width="15.1640625" style="12" bestFit="1" customWidth="1"/>
    <col min="9" max="9" width="14.1640625" style="12" bestFit="1" customWidth="1"/>
    <col min="10" max="10" width="6.83203125" style="12" customWidth="1"/>
    <col min="11" max="16384" width="9.1640625" style="12"/>
  </cols>
  <sheetData>
    <row r="1" spans="1:17" ht="14.4" thickBot="1" x14ac:dyDescent="0.55000000000000004"/>
    <row r="2" spans="1:17" ht="14.4" thickBot="1" x14ac:dyDescent="0.55000000000000004">
      <c r="B2" s="162" t="s">
        <v>77</v>
      </c>
      <c r="C2" s="163"/>
      <c r="D2" s="163"/>
      <c r="E2" s="163"/>
      <c r="F2" s="164"/>
      <c r="H2" s="165" t="s">
        <v>85</v>
      </c>
      <c r="I2" s="166"/>
      <c r="K2" s="167" t="s">
        <v>142</v>
      </c>
      <c r="L2" s="167"/>
      <c r="M2" s="167"/>
      <c r="N2" s="167"/>
      <c r="O2" s="167"/>
      <c r="P2" s="167"/>
      <c r="Q2" s="167"/>
    </row>
    <row r="3" spans="1:17" ht="14.4" thickBot="1" x14ac:dyDescent="0.55000000000000004">
      <c r="A3" s="137" t="s">
        <v>211</v>
      </c>
      <c r="B3" s="13" t="s">
        <v>78</v>
      </c>
      <c r="C3" s="3" t="s">
        <v>79</v>
      </c>
      <c r="D3" s="3" t="s">
        <v>137</v>
      </c>
      <c r="E3" s="14" t="s">
        <v>80</v>
      </c>
      <c r="F3" s="15" t="s">
        <v>81</v>
      </c>
      <c r="H3" s="16" t="s">
        <v>83</v>
      </c>
      <c r="I3" s="17" t="s">
        <v>82</v>
      </c>
      <c r="K3" s="167"/>
      <c r="L3" s="167"/>
      <c r="M3" s="167"/>
      <c r="N3" s="167"/>
      <c r="O3" s="167"/>
      <c r="P3" s="167"/>
      <c r="Q3" s="167"/>
    </row>
    <row r="4" spans="1:17" x14ac:dyDescent="0.5">
      <c r="A4" s="143" t="str">
        <f>'Report Numbers'!N2</f>
        <v>Table01</v>
      </c>
      <c r="B4" s="138" t="s">
        <v>103</v>
      </c>
      <c r="C4" s="4">
        <v>2</v>
      </c>
      <c r="D4" s="4">
        <f>((COUNTA('Table 1'!$A$2:$A$10)+1)-H4)</f>
        <v>4</v>
      </c>
      <c r="E4" s="20" t="str">
        <f t="shared" ref="E4:E5" si="0">LOOKUP(C4,D$62:D$87,C$62:C$87)</f>
        <v>B</v>
      </c>
      <c r="F4" s="21" t="str">
        <f>CONCATENATE("A1",":",E4,D4)</f>
        <v>A1:B4</v>
      </c>
      <c r="H4" s="22">
        <f>COUNTIF('Table 1'!$A$2:$A$10,"xx")</f>
        <v>6</v>
      </c>
      <c r="I4" s="23"/>
      <c r="K4" s="167"/>
      <c r="L4" s="167"/>
      <c r="M4" s="167"/>
      <c r="N4" s="167"/>
      <c r="O4" s="167"/>
      <c r="P4" s="167"/>
      <c r="Q4" s="167"/>
    </row>
    <row r="5" spans="1:17" x14ac:dyDescent="0.5">
      <c r="A5" s="50" t="str">
        <f>'Report Numbers'!G2</f>
        <v>Figure01</v>
      </c>
      <c r="B5" s="139" t="s">
        <v>46</v>
      </c>
      <c r="C5" s="5">
        <v>2</v>
      </c>
      <c r="D5" s="4">
        <f>((COUNTA('Figure 1'!A2:A10)+1)-H5)</f>
        <v>3</v>
      </c>
      <c r="E5" s="26" t="str">
        <f t="shared" si="0"/>
        <v>B</v>
      </c>
      <c r="F5" s="27" t="str">
        <f>CONCATENATE("A2",":",E5,D5)</f>
        <v>A2:B3</v>
      </c>
      <c r="H5" s="22">
        <f>COUNTIF('Figure 1'!B2:B10,"xx")</f>
        <v>7</v>
      </c>
      <c r="I5" s="29"/>
      <c r="K5" s="167"/>
      <c r="L5" s="167"/>
      <c r="M5" s="167"/>
      <c r="N5" s="167"/>
      <c r="O5" s="167"/>
      <c r="P5" s="167"/>
      <c r="Q5" s="167"/>
    </row>
    <row r="6" spans="1:17" x14ac:dyDescent="0.5">
      <c r="A6" s="50" t="str">
        <f>'Report Numbers'!G3</f>
        <v>Figure02</v>
      </c>
      <c r="B6" s="139" t="s">
        <v>47</v>
      </c>
      <c r="C6" s="5">
        <v>2</v>
      </c>
      <c r="D6" s="4">
        <f>((COUNTA('Figure 2'!A2:A10)+1)-H6)</f>
        <v>3</v>
      </c>
      <c r="E6" s="26" t="str">
        <f t="shared" ref="E6" si="1">LOOKUP(C6,D$62:D$87,C$62:C$87)</f>
        <v>B</v>
      </c>
      <c r="F6" s="27" t="str">
        <f>CONCATENATE("A2",":",E6,D6)</f>
        <v>A2:B3</v>
      </c>
      <c r="H6" s="22">
        <f>COUNTIF('Figure 2'!B2:B10,"xx")</f>
        <v>7</v>
      </c>
      <c r="I6" s="29"/>
      <c r="K6" s="167"/>
      <c r="L6" s="167"/>
      <c r="M6" s="167"/>
      <c r="N6" s="167"/>
      <c r="O6" s="167"/>
      <c r="P6" s="167"/>
      <c r="Q6" s="167"/>
    </row>
    <row r="7" spans="1:17" x14ac:dyDescent="0.5">
      <c r="A7" s="50" t="str">
        <f>'Report Numbers'!N3</f>
        <v>Bullet01</v>
      </c>
      <c r="B7" s="139" t="s">
        <v>144</v>
      </c>
      <c r="C7" s="5">
        <v>2</v>
      </c>
      <c r="D7" s="5">
        <f>((COUNTA('Bullet 1'!A2:A10)+1)-H6)</f>
        <v>3</v>
      </c>
      <c r="E7" s="26" t="s">
        <v>19</v>
      </c>
      <c r="F7" s="27" t="str">
        <f>CONCATENATE("A2",":",E7,D7)</f>
        <v>A2:B3</v>
      </c>
      <c r="H7" s="28">
        <f>COUNTIF('Bullet 1'!B2:B10,"xx")</f>
        <v>7</v>
      </c>
      <c r="I7" s="29"/>
    </row>
    <row r="8" spans="1:17" x14ac:dyDescent="0.5">
      <c r="A8" s="50" t="str">
        <f>'Report Numbers'!N4</f>
        <v>Table02</v>
      </c>
      <c r="B8" s="139" t="s">
        <v>149</v>
      </c>
      <c r="C8" s="5">
        <v>2</v>
      </c>
      <c r="D8" s="5">
        <f>((COUNTA('Table 2'!$A$2:$A$10)+1)-H4)</f>
        <v>4</v>
      </c>
      <c r="E8" s="26" t="s">
        <v>19</v>
      </c>
      <c r="F8" s="21" t="str">
        <f>CONCATENATE("A2",":",E8,D8)</f>
        <v>A2:B4</v>
      </c>
      <c r="H8" s="22">
        <f>COUNTIF('Table 1'!$A$2:$A$10,"xx")</f>
        <v>6</v>
      </c>
      <c r="I8" s="29"/>
    </row>
    <row r="9" spans="1:17" x14ac:dyDescent="0.5">
      <c r="A9" s="50" t="str">
        <f>'Report Numbers'!N5</f>
        <v>Table03</v>
      </c>
      <c r="B9" s="139" t="s">
        <v>204</v>
      </c>
      <c r="C9" s="5">
        <v>4</v>
      </c>
      <c r="D9" s="5">
        <v>4</v>
      </c>
      <c r="E9" s="26" t="s">
        <v>21</v>
      </c>
      <c r="F9" s="27" t="s">
        <v>205</v>
      </c>
      <c r="H9" s="28">
        <f>COUNTIF('Table 3'!$A$2:$A$10,"xx")</f>
        <v>0</v>
      </c>
      <c r="I9" s="29"/>
    </row>
    <row r="10" spans="1:17" x14ac:dyDescent="0.5">
      <c r="A10" s="50"/>
      <c r="B10" s="139"/>
      <c r="C10" s="146"/>
      <c r="D10" s="5"/>
      <c r="E10" s="26"/>
      <c r="F10" s="27"/>
      <c r="H10" s="28"/>
      <c r="I10" s="29"/>
    </row>
    <row r="11" spans="1:17" x14ac:dyDescent="0.5">
      <c r="A11" s="50"/>
      <c r="B11" s="139"/>
      <c r="C11" s="5"/>
      <c r="D11" s="5"/>
      <c r="E11" s="26"/>
      <c r="F11" s="27"/>
      <c r="H11" s="28"/>
      <c r="I11" s="29"/>
    </row>
    <row r="12" spans="1:17" x14ac:dyDescent="0.5">
      <c r="A12" s="144"/>
      <c r="B12" s="139"/>
      <c r="C12" s="5"/>
      <c r="D12" s="5"/>
      <c r="E12" s="26"/>
      <c r="F12" s="27"/>
      <c r="H12" s="28"/>
      <c r="I12" s="29"/>
    </row>
    <row r="13" spans="1:17" x14ac:dyDescent="0.5">
      <c r="A13" s="50"/>
      <c r="B13" s="139"/>
      <c r="C13" s="5"/>
      <c r="D13" s="5"/>
      <c r="E13" s="26"/>
      <c r="F13" s="27"/>
      <c r="H13" s="28"/>
      <c r="I13" s="29"/>
    </row>
    <row r="14" spans="1:17" x14ac:dyDescent="0.5">
      <c r="A14" s="50"/>
      <c r="B14" s="140"/>
      <c r="C14" s="5"/>
      <c r="D14" s="5"/>
      <c r="E14" s="26"/>
      <c r="F14" s="27"/>
      <c r="H14" s="28"/>
      <c r="I14" s="29"/>
    </row>
    <row r="15" spans="1:17" x14ac:dyDescent="0.5">
      <c r="A15" s="50"/>
      <c r="B15" s="140"/>
      <c r="C15" s="5"/>
      <c r="D15" s="5"/>
      <c r="E15" s="26"/>
      <c r="F15" s="27"/>
      <c r="H15" s="28"/>
      <c r="I15" s="29"/>
    </row>
    <row r="16" spans="1:17" x14ac:dyDescent="0.5">
      <c r="A16" s="50"/>
      <c r="B16" s="140"/>
      <c r="C16" s="5"/>
      <c r="D16" s="5"/>
      <c r="E16" s="26"/>
      <c r="F16" s="27"/>
      <c r="H16" s="28"/>
      <c r="I16" s="29"/>
    </row>
    <row r="17" spans="1:9" x14ac:dyDescent="0.5">
      <c r="A17" s="50"/>
      <c r="B17" s="140"/>
      <c r="C17" s="5"/>
      <c r="D17" s="5"/>
      <c r="E17" s="26"/>
      <c r="F17" s="27"/>
      <c r="H17" s="28"/>
      <c r="I17" s="29"/>
    </row>
    <row r="18" spans="1:9" x14ac:dyDescent="0.5">
      <c r="A18" s="50"/>
      <c r="B18" s="140"/>
      <c r="C18" s="5"/>
      <c r="D18" s="5"/>
      <c r="E18" s="26"/>
      <c r="F18" s="27"/>
      <c r="H18" s="28"/>
      <c r="I18" s="29"/>
    </row>
    <row r="19" spans="1:9" x14ac:dyDescent="0.5">
      <c r="A19" s="50"/>
      <c r="B19" s="140"/>
      <c r="C19" s="5"/>
      <c r="D19" s="5"/>
      <c r="E19" s="26"/>
      <c r="F19" s="27"/>
      <c r="H19" s="28"/>
      <c r="I19" s="29"/>
    </row>
    <row r="20" spans="1:9" x14ac:dyDescent="0.5">
      <c r="A20" s="50"/>
      <c r="B20" s="140"/>
      <c r="C20" s="5"/>
      <c r="D20" s="5"/>
      <c r="E20" s="26"/>
      <c r="F20" s="27"/>
      <c r="H20" s="28"/>
      <c r="I20" s="29"/>
    </row>
    <row r="21" spans="1:9" x14ac:dyDescent="0.5">
      <c r="A21" s="50"/>
      <c r="B21" s="140"/>
      <c r="C21" s="31"/>
      <c r="D21" s="31"/>
      <c r="E21" s="31"/>
      <c r="F21" s="29"/>
      <c r="H21" s="28"/>
      <c r="I21" s="29"/>
    </row>
    <row r="22" spans="1:9" x14ac:dyDescent="0.5">
      <c r="A22" s="50"/>
      <c r="B22" s="140"/>
      <c r="C22" s="31"/>
      <c r="D22" s="31"/>
      <c r="E22" s="31"/>
      <c r="F22" s="29"/>
      <c r="H22" s="28"/>
      <c r="I22" s="29"/>
    </row>
    <row r="23" spans="1:9" x14ac:dyDescent="0.5">
      <c r="A23" s="50"/>
      <c r="B23" s="140"/>
      <c r="C23" s="31"/>
      <c r="D23" s="31"/>
      <c r="E23" s="31"/>
      <c r="F23" s="29"/>
      <c r="H23" s="28"/>
      <c r="I23" s="29"/>
    </row>
    <row r="24" spans="1:9" x14ac:dyDescent="0.5">
      <c r="A24" s="50"/>
      <c r="B24" s="141"/>
      <c r="C24" s="30"/>
      <c r="D24" s="30"/>
      <c r="E24" s="30"/>
      <c r="F24" s="51"/>
      <c r="H24" s="50"/>
      <c r="I24" s="29"/>
    </row>
    <row r="25" spans="1:9" x14ac:dyDescent="0.5">
      <c r="A25" s="50"/>
      <c r="B25" s="141"/>
      <c r="C25" s="5"/>
      <c r="D25" s="30"/>
      <c r="E25" s="30"/>
      <c r="F25" s="51"/>
      <c r="H25" s="50"/>
      <c r="I25" s="29"/>
    </row>
    <row r="26" spans="1:9" x14ac:dyDescent="0.5">
      <c r="A26" s="50"/>
      <c r="B26" s="141"/>
      <c r="C26" s="5"/>
      <c r="D26" s="30"/>
      <c r="E26" s="30"/>
      <c r="F26" s="51"/>
      <c r="H26" s="50"/>
      <c r="I26" s="29"/>
    </row>
    <row r="27" spans="1:9" x14ac:dyDescent="0.5">
      <c r="A27" s="50"/>
      <c r="B27" s="140"/>
      <c r="C27" s="31"/>
      <c r="D27" s="31"/>
      <c r="E27" s="31"/>
      <c r="F27" s="29"/>
      <c r="H27" s="28"/>
      <c r="I27" s="29"/>
    </row>
    <row r="28" spans="1:9" x14ac:dyDescent="0.5">
      <c r="A28" s="50"/>
      <c r="B28" s="140"/>
      <c r="C28" s="31"/>
      <c r="D28" s="31"/>
      <c r="E28" s="31"/>
      <c r="F28" s="29"/>
      <c r="H28" s="28"/>
      <c r="I28" s="29"/>
    </row>
    <row r="29" spans="1:9" x14ac:dyDescent="0.5">
      <c r="A29" s="50"/>
      <c r="B29" s="140"/>
      <c r="C29" s="5"/>
      <c r="D29" s="31"/>
      <c r="E29" s="26"/>
      <c r="F29" s="27"/>
      <c r="H29" s="22"/>
      <c r="I29" s="29"/>
    </row>
    <row r="30" spans="1:9" x14ac:dyDescent="0.5">
      <c r="A30" s="50"/>
      <c r="B30" s="140"/>
      <c r="C30" s="5"/>
      <c r="D30" s="31"/>
      <c r="E30" s="26"/>
      <c r="F30" s="27"/>
      <c r="H30" s="22"/>
      <c r="I30" s="29"/>
    </row>
    <row r="31" spans="1:9" x14ac:dyDescent="0.5">
      <c r="A31" s="50"/>
      <c r="B31" s="140"/>
      <c r="C31" s="5"/>
      <c r="D31" s="31"/>
      <c r="E31" s="26"/>
      <c r="F31" s="27"/>
      <c r="H31" s="22"/>
      <c r="I31" s="29"/>
    </row>
    <row r="32" spans="1:9" x14ac:dyDescent="0.5">
      <c r="A32" s="50"/>
      <c r="B32" s="140"/>
      <c r="C32" s="5"/>
      <c r="D32" s="31"/>
      <c r="E32" s="31"/>
      <c r="F32" s="29"/>
      <c r="H32" s="28"/>
      <c r="I32" s="29"/>
    </row>
    <row r="33" spans="1:9" x14ac:dyDescent="0.5">
      <c r="A33" s="50"/>
      <c r="B33" s="140"/>
      <c r="C33" s="31"/>
      <c r="D33" s="31"/>
      <c r="E33" s="31"/>
      <c r="F33" s="29"/>
      <c r="H33" s="28"/>
      <c r="I33" s="29"/>
    </row>
    <row r="34" spans="1:9" x14ac:dyDescent="0.5">
      <c r="A34" s="50"/>
      <c r="B34" s="140"/>
      <c r="C34" s="31"/>
      <c r="D34" s="31"/>
      <c r="E34" s="31"/>
      <c r="F34" s="29"/>
      <c r="H34" s="28"/>
      <c r="I34" s="29"/>
    </row>
    <row r="35" spans="1:9" x14ac:dyDescent="0.5">
      <c r="A35" s="50"/>
      <c r="B35" s="140"/>
      <c r="C35" s="31"/>
      <c r="D35" s="31"/>
      <c r="E35" s="31"/>
      <c r="F35" s="29"/>
      <c r="H35" s="28"/>
      <c r="I35" s="29"/>
    </row>
    <row r="36" spans="1:9" x14ac:dyDescent="0.5">
      <c r="A36" s="50"/>
      <c r="B36" s="140"/>
      <c r="C36" s="31"/>
      <c r="D36" s="31"/>
      <c r="E36" s="31"/>
      <c r="F36" s="29"/>
      <c r="H36" s="28"/>
      <c r="I36" s="29"/>
    </row>
    <row r="37" spans="1:9" x14ac:dyDescent="0.5">
      <c r="A37" s="50"/>
      <c r="B37" s="140"/>
      <c r="C37" s="31"/>
      <c r="D37" s="31"/>
      <c r="E37" s="31"/>
      <c r="F37" s="29"/>
      <c r="H37" s="28"/>
      <c r="I37" s="29"/>
    </row>
    <row r="38" spans="1:9" ht="14.4" thickBot="1" x14ac:dyDescent="0.55000000000000004">
      <c r="A38" s="145"/>
      <c r="B38" s="142"/>
      <c r="C38" s="33"/>
      <c r="D38" s="33"/>
      <c r="E38" s="33"/>
      <c r="F38" s="34"/>
      <c r="H38" s="32"/>
      <c r="I38" s="34"/>
    </row>
    <row r="62" spans="3:4" x14ac:dyDescent="0.5">
      <c r="C62" s="35" t="s">
        <v>18</v>
      </c>
      <c r="D62" s="35">
        <v>1</v>
      </c>
    </row>
    <row r="63" spans="3:4" x14ac:dyDescent="0.5">
      <c r="C63" s="35" t="s">
        <v>19</v>
      </c>
      <c r="D63" s="35">
        <v>2</v>
      </c>
    </row>
    <row r="64" spans="3:4" x14ac:dyDescent="0.5">
      <c r="C64" s="35" t="s">
        <v>20</v>
      </c>
      <c r="D64" s="35">
        <v>3</v>
      </c>
    </row>
    <row r="65" spans="3:4" x14ac:dyDescent="0.5">
      <c r="C65" s="35" t="s">
        <v>21</v>
      </c>
      <c r="D65" s="35">
        <v>4</v>
      </c>
    </row>
    <row r="66" spans="3:4" x14ac:dyDescent="0.5">
      <c r="C66" s="35" t="s">
        <v>22</v>
      </c>
      <c r="D66" s="35">
        <v>5</v>
      </c>
    </row>
    <row r="67" spans="3:4" x14ac:dyDescent="0.5">
      <c r="C67" s="35" t="s">
        <v>23</v>
      </c>
      <c r="D67" s="35">
        <v>6</v>
      </c>
    </row>
    <row r="68" spans="3:4" x14ac:dyDescent="0.5">
      <c r="C68" s="35" t="s">
        <v>24</v>
      </c>
      <c r="D68" s="35">
        <v>7</v>
      </c>
    </row>
    <row r="69" spans="3:4" x14ac:dyDescent="0.5">
      <c r="C69" s="35" t="s">
        <v>25</v>
      </c>
      <c r="D69" s="35">
        <v>8</v>
      </c>
    </row>
    <row r="70" spans="3:4" x14ac:dyDescent="0.5">
      <c r="C70" s="35" t="s">
        <v>26</v>
      </c>
      <c r="D70" s="35">
        <v>9</v>
      </c>
    </row>
    <row r="71" spans="3:4" x14ac:dyDescent="0.5">
      <c r="C71" s="35" t="s">
        <v>27</v>
      </c>
      <c r="D71" s="35">
        <v>10</v>
      </c>
    </row>
    <row r="72" spans="3:4" x14ac:dyDescent="0.5">
      <c r="C72" s="35" t="s">
        <v>28</v>
      </c>
      <c r="D72" s="35">
        <v>11</v>
      </c>
    </row>
    <row r="73" spans="3:4" x14ac:dyDescent="0.5">
      <c r="C73" s="35" t="s">
        <v>29</v>
      </c>
      <c r="D73" s="35">
        <v>12</v>
      </c>
    </row>
    <row r="74" spans="3:4" x14ac:dyDescent="0.5">
      <c r="C74" s="35" t="s">
        <v>30</v>
      </c>
      <c r="D74" s="35">
        <v>13</v>
      </c>
    </row>
    <row r="75" spans="3:4" x14ac:dyDescent="0.5">
      <c r="C75" s="35" t="s">
        <v>31</v>
      </c>
      <c r="D75" s="35">
        <v>14</v>
      </c>
    </row>
    <row r="76" spans="3:4" x14ac:dyDescent="0.5">
      <c r="C76" s="35" t="s">
        <v>32</v>
      </c>
      <c r="D76" s="35">
        <v>15</v>
      </c>
    </row>
    <row r="77" spans="3:4" x14ac:dyDescent="0.5">
      <c r="C77" s="35" t="s">
        <v>33</v>
      </c>
      <c r="D77" s="35">
        <v>16</v>
      </c>
    </row>
    <row r="78" spans="3:4" x14ac:dyDescent="0.5">
      <c r="C78" s="35" t="s">
        <v>34</v>
      </c>
      <c r="D78" s="35">
        <v>17</v>
      </c>
    </row>
    <row r="79" spans="3:4" x14ac:dyDescent="0.5">
      <c r="C79" s="35" t="s">
        <v>35</v>
      </c>
      <c r="D79" s="35">
        <v>18</v>
      </c>
    </row>
    <row r="80" spans="3:4" x14ac:dyDescent="0.5">
      <c r="C80" s="35" t="s">
        <v>36</v>
      </c>
      <c r="D80" s="35">
        <v>19</v>
      </c>
    </row>
    <row r="81" spans="3:4" x14ac:dyDescent="0.5">
      <c r="C81" s="35" t="s">
        <v>37</v>
      </c>
      <c r="D81" s="35">
        <v>20</v>
      </c>
    </row>
    <row r="82" spans="3:4" x14ac:dyDescent="0.5">
      <c r="C82" s="35" t="s">
        <v>38</v>
      </c>
      <c r="D82" s="35">
        <v>21</v>
      </c>
    </row>
    <row r="83" spans="3:4" x14ac:dyDescent="0.5">
      <c r="C83" s="35" t="s">
        <v>39</v>
      </c>
      <c r="D83" s="35">
        <v>22</v>
      </c>
    </row>
    <row r="84" spans="3:4" x14ac:dyDescent="0.5">
      <c r="C84" s="35" t="s">
        <v>40</v>
      </c>
      <c r="D84" s="35">
        <v>23</v>
      </c>
    </row>
    <row r="85" spans="3:4" x14ac:dyDescent="0.5">
      <c r="C85" s="35" t="s">
        <v>41</v>
      </c>
      <c r="D85" s="35">
        <v>24</v>
      </c>
    </row>
    <row r="86" spans="3:4" x14ac:dyDescent="0.5">
      <c r="C86" s="35" t="s">
        <v>42</v>
      </c>
      <c r="D86" s="35">
        <v>25</v>
      </c>
    </row>
    <row r="87" spans="3:4" x14ac:dyDescent="0.5">
      <c r="C87" s="35" t="s">
        <v>43</v>
      </c>
      <c r="D87" s="35">
        <v>26</v>
      </c>
    </row>
  </sheetData>
  <mergeCells count="3">
    <mergeCell ref="B2:F2"/>
    <mergeCell ref="H2:I2"/>
    <mergeCell ref="K2:Q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11"/>
  <sheetViews>
    <sheetView zoomScale="112" zoomScaleNormal="112" workbookViewId="0"/>
  </sheetViews>
  <sheetFormatPr defaultColWidth="9.1640625" defaultRowHeight="14.1" x14ac:dyDescent="0.5"/>
  <cols>
    <col min="1" max="1" width="9.44140625" style="133" bestFit="1" customWidth="1"/>
    <col min="2" max="2" width="20.1640625" style="114" bestFit="1" customWidth="1"/>
    <col min="3" max="3" width="32.38671875" style="114" customWidth="1"/>
    <col min="4" max="16384" width="9.1640625" style="114"/>
  </cols>
  <sheetData>
    <row r="1" spans="1:6" ht="53.25" customHeight="1" x14ac:dyDescent="0.5">
      <c r="A1" s="129" t="s">
        <v>108</v>
      </c>
      <c r="B1" s="134" t="s">
        <v>139</v>
      </c>
      <c r="C1" s="114" t="str">
        <f>CONCATENATE(C2,C3,C4,C5,C6,C7,C8,C9,C10)</f>
        <v xml:space="preserve">The count for age 22-30 is 1.  The count for age 30-50 is 2.  The count for age 51+ is 0.  </v>
      </c>
    </row>
    <row r="2" spans="1:6" x14ac:dyDescent="0.5">
      <c r="A2" s="130" t="str">
        <f t="shared" ref="A2:A10" si="0">IF(E2="","xx",E2)</f>
        <v>22-30</v>
      </c>
      <c r="B2" s="115">
        <f>IF(E2="","xx",F2)</f>
        <v>1</v>
      </c>
      <c r="C2" s="10" t="str">
        <f>IF(A2 = "xx","","The count for age "&amp;A2&amp;" is "&amp;TEXT(B2,"0") &amp; ".  ")</f>
        <v xml:space="preserve">The count for age 22-30 is 1.  </v>
      </c>
      <c r="E2" s="116" t="s">
        <v>104</v>
      </c>
      <c r="F2" s="116">
        <v>1</v>
      </c>
    </row>
    <row r="3" spans="1:6" x14ac:dyDescent="0.5">
      <c r="A3" s="131" t="str">
        <f t="shared" si="0"/>
        <v>30-50</v>
      </c>
      <c r="B3" s="117">
        <f t="shared" ref="B3:B10" si="1">IF(E3="","xx",F3)</f>
        <v>2</v>
      </c>
      <c r="C3" s="10" t="str">
        <f t="shared" ref="C3:C10" si="2">IF(A3 = "xx","","The count for age "&amp;A3&amp;" is "&amp;TEXT(B3,"0") &amp; ".  ")</f>
        <v xml:space="preserve">The count for age 30-50 is 2.  </v>
      </c>
      <c r="E3" s="116" t="s">
        <v>105</v>
      </c>
      <c r="F3" s="116">
        <v>2</v>
      </c>
    </row>
    <row r="4" spans="1:6" x14ac:dyDescent="0.5">
      <c r="A4" s="131" t="str">
        <f t="shared" si="0"/>
        <v>51+</v>
      </c>
      <c r="B4" s="117">
        <f t="shared" si="1"/>
        <v>0</v>
      </c>
      <c r="C4" s="10" t="str">
        <f t="shared" si="2"/>
        <v xml:space="preserve">The count for age 51+ is 0.  </v>
      </c>
      <c r="E4" s="116" t="s">
        <v>148</v>
      </c>
      <c r="F4" s="116">
        <v>0</v>
      </c>
    </row>
    <row r="5" spans="1:6" x14ac:dyDescent="0.5">
      <c r="A5" s="131" t="str">
        <f t="shared" si="0"/>
        <v>xx</v>
      </c>
      <c r="B5" s="117" t="str">
        <f t="shared" si="1"/>
        <v>xx</v>
      </c>
      <c r="C5" s="10" t="str">
        <f t="shared" si="2"/>
        <v/>
      </c>
      <c r="E5" s="116"/>
      <c r="F5" s="116"/>
    </row>
    <row r="6" spans="1:6" x14ac:dyDescent="0.5">
      <c r="A6" s="131" t="str">
        <f t="shared" si="0"/>
        <v>xx</v>
      </c>
      <c r="B6" s="117" t="str">
        <f t="shared" si="1"/>
        <v>xx</v>
      </c>
      <c r="C6" s="10" t="str">
        <f t="shared" si="2"/>
        <v/>
      </c>
    </row>
    <row r="7" spans="1:6" x14ac:dyDescent="0.5">
      <c r="A7" s="131" t="str">
        <f t="shared" si="0"/>
        <v>xx</v>
      </c>
      <c r="B7" s="117" t="str">
        <f t="shared" si="1"/>
        <v>xx</v>
      </c>
      <c r="C7" s="10" t="str">
        <f t="shared" si="2"/>
        <v/>
      </c>
    </row>
    <row r="8" spans="1:6" x14ac:dyDescent="0.5">
      <c r="A8" s="131" t="str">
        <f t="shared" si="0"/>
        <v>xx</v>
      </c>
      <c r="B8" s="117" t="str">
        <f t="shared" si="1"/>
        <v>xx</v>
      </c>
      <c r="C8" s="10" t="str">
        <f t="shared" si="2"/>
        <v/>
      </c>
    </row>
    <row r="9" spans="1:6" x14ac:dyDescent="0.5">
      <c r="A9" s="131" t="str">
        <f t="shared" si="0"/>
        <v>xx</v>
      </c>
      <c r="B9" s="117" t="str">
        <f t="shared" si="1"/>
        <v>xx</v>
      </c>
      <c r="C9" s="10" t="str">
        <f t="shared" si="2"/>
        <v/>
      </c>
    </row>
    <row r="10" spans="1:6" x14ac:dyDescent="0.5">
      <c r="A10" s="131" t="str">
        <f t="shared" si="0"/>
        <v>xx</v>
      </c>
      <c r="B10" s="117" t="str">
        <f t="shared" si="1"/>
        <v>xx</v>
      </c>
      <c r="C10" s="10" t="str">
        <f t="shared" si="2"/>
        <v/>
      </c>
    </row>
    <row r="11" spans="1:6" x14ac:dyDescent="0.5">
      <c r="A11" s="132"/>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11"/>
  <sheetViews>
    <sheetView workbookViewId="0">
      <selection activeCell="B2" sqref="B2"/>
    </sheetView>
  </sheetViews>
  <sheetFormatPr defaultColWidth="9.1640625" defaultRowHeight="14.1" x14ac:dyDescent="0.5"/>
  <cols>
    <col min="1" max="1" width="9.44140625" style="10" bestFit="1" customWidth="1"/>
    <col min="2" max="2" width="20.1640625" style="10" bestFit="1" customWidth="1"/>
    <col min="3" max="3" width="12" style="10" bestFit="1" customWidth="1"/>
    <col min="4" max="16384" width="9.1640625" style="10"/>
  </cols>
  <sheetData>
    <row r="1" spans="1:6" ht="53.25" customHeight="1" x14ac:dyDescent="0.5">
      <c r="A1" s="66" t="s">
        <v>108</v>
      </c>
      <c r="B1" s="67" t="s">
        <v>139</v>
      </c>
      <c r="D1" s="10" t="s">
        <v>152</v>
      </c>
    </row>
    <row r="2" spans="1:6" x14ac:dyDescent="0.5">
      <c r="A2" s="106" t="str">
        <f>'Table 1'!A2</f>
        <v>22-30</v>
      </c>
      <c r="B2" s="63">
        <f>'Table 1'!B2</f>
        <v>1</v>
      </c>
      <c r="C2" s="11"/>
      <c r="E2" s="2"/>
      <c r="F2" s="2"/>
    </row>
    <row r="3" spans="1:6" x14ac:dyDescent="0.5">
      <c r="A3" s="106" t="str">
        <f>'Table 1'!A3</f>
        <v>30-50</v>
      </c>
      <c r="B3" s="63">
        <f>'Table 1'!B3</f>
        <v>2</v>
      </c>
      <c r="C3" s="11"/>
      <c r="E3" s="2"/>
      <c r="F3" s="2"/>
    </row>
    <row r="4" spans="1:6" x14ac:dyDescent="0.5">
      <c r="A4" s="106" t="str">
        <f>'Table 1'!A4</f>
        <v>51+</v>
      </c>
      <c r="B4" s="63">
        <f>'Table 1'!B4</f>
        <v>0</v>
      </c>
      <c r="C4" s="11"/>
      <c r="E4" s="2"/>
      <c r="F4" s="2"/>
    </row>
    <row r="5" spans="1:6" x14ac:dyDescent="0.5">
      <c r="A5" s="106" t="str">
        <f>'Table 1'!A5</f>
        <v>xx</v>
      </c>
      <c r="B5" s="63" t="str">
        <f>'Table 1'!B5</f>
        <v>xx</v>
      </c>
      <c r="C5" s="11"/>
      <c r="E5" s="2"/>
      <c r="F5" s="2"/>
    </row>
    <row r="6" spans="1:6" x14ac:dyDescent="0.5">
      <c r="A6" s="106" t="str">
        <f>'Table 1'!A6</f>
        <v>xx</v>
      </c>
      <c r="B6" s="63" t="str">
        <f>'Table 1'!B6</f>
        <v>xx</v>
      </c>
    </row>
    <row r="7" spans="1:6" x14ac:dyDescent="0.5">
      <c r="A7" s="106" t="str">
        <f>'Table 1'!A7</f>
        <v>xx</v>
      </c>
      <c r="B7" s="63" t="str">
        <f>'Table 1'!B7</f>
        <v>xx</v>
      </c>
    </row>
    <row r="8" spans="1:6" x14ac:dyDescent="0.5">
      <c r="A8" s="106" t="str">
        <f>'Table 1'!A8</f>
        <v>xx</v>
      </c>
      <c r="B8" s="63" t="str">
        <f>'Table 1'!B8</f>
        <v>xx</v>
      </c>
    </row>
    <row r="9" spans="1:6" x14ac:dyDescent="0.5">
      <c r="A9" s="106" t="str">
        <f>'Table 1'!A9</f>
        <v>xx</v>
      </c>
      <c r="B9" s="63" t="str">
        <f>'Table 1'!B9</f>
        <v>xx</v>
      </c>
    </row>
    <row r="10" spans="1:6" x14ac:dyDescent="0.5">
      <c r="A10" s="106" t="str">
        <f>'Table 1'!A10</f>
        <v>xx</v>
      </c>
      <c r="B10" s="63" t="str">
        <f>'Table 1'!B10</f>
        <v>xx</v>
      </c>
    </row>
    <row r="11" spans="1:6" x14ac:dyDescent="0.5">
      <c r="A11" s="45"/>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6FD1A-03C7-4030-9107-DB49E0A1263A}">
  <sheetPr codeName="Sheet12"/>
  <dimension ref="A1:H12"/>
  <sheetViews>
    <sheetView workbookViewId="0">
      <selection activeCell="H16" sqref="H16"/>
    </sheetView>
  </sheetViews>
  <sheetFormatPr defaultColWidth="9.1640625" defaultRowHeight="14.1" x14ac:dyDescent="0.5"/>
  <cols>
    <col min="1" max="1" width="9.1640625" style="10"/>
    <col min="2" max="2" width="9.44140625" style="10" bestFit="1" customWidth="1"/>
    <col min="3" max="3" width="20.1640625" style="10" bestFit="1" customWidth="1"/>
    <col min="4" max="4" width="12" style="10" bestFit="1" customWidth="1"/>
    <col min="5" max="16384" width="9.1640625" style="10"/>
  </cols>
  <sheetData>
    <row r="1" spans="1:8" x14ac:dyDescent="0.5">
      <c r="A1" s="172"/>
      <c r="B1" s="172"/>
      <c r="C1" s="170" t="s">
        <v>203</v>
      </c>
      <c r="D1" s="171"/>
    </row>
    <row r="2" spans="1:8" ht="53.25" customHeight="1" x14ac:dyDescent="0.5">
      <c r="A2" s="172"/>
      <c r="B2" s="172"/>
      <c r="C2" s="135" t="s">
        <v>139</v>
      </c>
      <c r="D2" s="136" t="s">
        <v>117</v>
      </c>
    </row>
    <row r="3" spans="1:8" x14ac:dyDescent="0.5">
      <c r="A3" s="168" t="s">
        <v>109</v>
      </c>
      <c r="B3" s="128" t="str">
        <f>IF(F3="","xx",F3)</f>
        <v>Male</v>
      </c>
      <c r="C3" s="63">
        <f t="shared" ref="C3:C4" si="0">IF(G3="","xx",G3)</f>
        <v>0</v>
      </c>
      <c r="D3" s="126">
        <f t="shared" ref="D3:D4" si="1">IF(H3="","xx",H3)</f>
        <v>0</v>
      </c>
      <c r="F3" s="125" t="s">
        <v>106</v>
      </c>
      <c r="G3" s="68">
        <v>0</v>
      </c>
      <c r="H3" s="68">
        <v>0</v>
      </c>
    </row>
    <row r="4" spans="1:8" x14ac:dyDescent="0.5">
      <c r="A4" s="169"/>
      <c r="B4" s="127" t="str">
        <f t="shared" ref="B4" si="2">IF(F4="","xx",F4)</f>
        <v>Female</v>
      </c>
      <c r="C4" s="63">
        <f t="shared" si="0"/>
        <v>3</v>
      </c>
      <c r="D4" s="126">
        <f t="shared" si="1"/>
        <v>1</v>
      </c>
      <c r="F4" s="68" t="s">
        <v>107</v>
      </c>
      <c r="G4" s="68">
        <v>3</v>
      </c>
      <c r="H4" s="68">
        <v>1</v>
      </c>
    </row>
    <row r="5" spans="1:8" x14ac:dyDescent="0.5">
      <c r="B5" s="123"/>
      <c r="C5" s="123"/>
      <c r="D5" s="123"/>
      <c r="F5" s="2"/>
      <c r="G5" s="2"/>
    </row>
    <row r="6" spans="1:8" x14ac:dyDescent="0.5">
      <c r="B6" s="123"/>
      <c r="C6" s="124"/>
      <c r="D6" s="11"/>
      <c r="F6" s="2"/>
      <c r="G6" s="2"/>
    </row>
    <row r="7" spans="1:8" x14ac:dyDescent="0.5">
      <c r="B7" s="123"/>
      <c r="C7" s="124"/>
    </row>
    <row r="8" spans="1:8" x14ac:dyDescent="0.5">
      <c r="B8" s="123"/>
      <c r="C8" s="124"/>
    </row>
    <row r="9" spans="1:8" x14ac:dyDescent="0.5">
      <c r="B9" s="123"/>
      <c r="C9" s="124"/>
    </row>
    <row r="10" spans="1:8" x14ac:dyDescent="0.5">
      <c r="B10" s="123"/>
      <c r="C10" s="124"/>
    </row>
    <row r="11" spans="1:8" x14ac:dyDescent="0.5">
      <c r="B11" s="123"/>
      <c r="C11" s="124"/>
    </row>
    <row r="12" spans="1:8" x14ac:dyDescent="0.5">
      <c r="B12" s="45"/>
    </row>
  </sheetData>
  <mergeCells count="3">
    <mergeCell ref="A3:A4"/>
    <mergeCell ref="C1:D1"/>
    <mergeCell ref="A1:B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F10"/>
  <sheetViews>
    <sheetView workbookViewId="0">
      <selection activeCell="C12" sqref="C12"/>
    </sheetView>
  </sheetViews>
  <sheetFormatPr defaultRowHeight="12.3" x14ac:dyDescent="0.4"/>
  <cols>
    <col min="4" max="4" width="26.38671875" customWidth="1"/>
  </cols>
  <sheetData>
    <row r="1" spans="1:6" ht="13.8" x14ac:dyDescent="0.45">
      <c r="A1" s="65" t="s">
        <v>108</v>
      </c>
      <c r="B1" s="65" t="s">
        <v>117</v>
      </c>
    </row>
    <row r="2" spans="1:6" ht="14.1" x14ac:dyDescent="0.5">
      <c r="A2" s="10" t="str">
        <f t="shared" ref="A2:A10" si="0">IF(E2="","xx",E2)</f>
        <v>22-30</v>
      </c>
      <c r="B2" s="11">
        <f t="shared" ref="B2:B10" si="1">IF(E2="","xx",F2)</f>
        <v>0.33333333300000001</v>
      </c>
      <c r="C2" s="10" t="str">
        <f>IF(A2="xx","","The percent for age "&amp;A2&amp;" is "&amp;TEXT(B2,"0.0%")&amp;".")</f>
        <v>The percent for age 22-30 is 33.3%.</v>
      </c>
      <c r="E2" s="68" t="s">
        <v>104</v>
      </c>
      <c r="F2" s="68">
        <v>0.33333333300000001</v>
      </c>
    </row>
    <row r="3" spans="1:6" ht="14.1" x14ac:dyDescent="0.5">
      <c r="A3" s="10" t="str">
        <f t="shared" si="0"/>
        <v>30-50</v>
      </c>
      <c r="B3" s="11">
        <f t="shared" si="1"/>
        <v>0.66666666699999999</v>
      </c>
      <c r="C3" s="10" t="str">
        <f t="shared" ref="C3:C10" si="2">IF(A3="xx","","The percent for age "&amp;A3&amp;" is "&amp;TEXT(B3,"0.0%")&amp;".")</f>
        <v>The percent for age 30-50 is 66.7%.</v>
      </c>
      <c r="E3" s="68" t="s">
        <v>105</v>
      </c>
      <c r="F3" s="68">
        <v>0.66666666699999999</v>
      </c>
    </row>
    <row r="4" spans="1:6" ht="14.1" x14ac:dyDescent="0.5">
      <c r="A4" s="10" t="str">
        <f t="shared" si="0"/>
        <v>xx</v>
      </c>
      <c r="B4" s="11" t="str">
        <f t="shared" si="1"/>
        <v>xx</v>
      </c>
      <c r="C4" s="10" t="str">
        <f t="shared" si="2"/>
        <v/>
      </c>
      <c r="E4" s="68"/>
      <c r="F4" s="68"/>
    </row>
    <row r="5" spans="1:6" ht="14.1" x14ac:dyDescent="0.5">
      <c r="A5" s="10" t="str">
        <f t="shared" si="0"/>
        <v>xx</v>
      </c>
      <c r="B5" s="11" t="str">
        <f t="shared" si="1"/>
        <v>xx</v>
      </c>
      <c r="C5" s="10" t="str">
        <f t="shared" si="2"/>
        <v/>
      </c>
      <c r="E5" s="68"/>
      <c r="F5" s="68"/>
    </row>
    <row r="6" spans="1:6" ht="14.1" x14ac:dyDescent="0.5">
      <c r="A6" s="10" t="str">
        <f t="shared" si="0"/>
        <v>xx</v>
      </c>
      <c r="B6" s="11" t="str">
        <f t="shared" si="1"/>
        <v>xx</v>
      </c>
      <c r="C6" s="10" t="str">
        <f t="shared" si="2"/>
        <v/>
      </c>
    </row>
    <row r="7" spans="1:6" ht="14.1" x14ac:dyDescent="0.5">
      <c r="A7" s="10" t="str">
        <f t="shared" si="0"/>
        <v>xx</v>
      </c>
      <c r="B7" s="11" t="str">
        <f t="shared" si="1"/>
        <v>xx</v>
      </c>
      <c r="C7" s="10" t="str">
        <f t="shared" si="2"/>
        <v/>
      </c>
    </row>
    <row r="8" spans="1:6" ht="14.1" x14ac:dyDescent="0.5">
      <c r="A8" s="10" t="str">
        <f t="shared" si="0"/>
        <v>xx</v>
      </c>
      <c r="B8" s="11" t="str">
        <f t="shared" si="1"/>
        <v>xx</v>
      </c>
      <c r="C8" s="10" t="str">
        <f t="shared" si="2"/>
        <v/>
      </c>
    </row>
    <row r="9" spans="1:6" ht="14.1" x14ac:dyDescent="0.5">
      <c r="A9" s="10" t="str">
        <f t="shared" si="0"/>
        <v>xx</v>
      </c>
      <c r="B9" s="11" t="str">
        <f t="shared" si="1"/>
        <v>xx</v>
      </c>
      <c r="C9" s="10" t="str">
        <f t="shared" si="2"/>
        <v/>
      </c>
    </row>
    <row r="10" spans="1:6" ht="14.1" x14ac:dyDescent="0.5">
      <c r="A10" s="10" t="str">
        <f t="shared" si="0"/>
        <v>xx</v>
      </c>
      <c r="B10" s="11" t="str">
        <f t="shared" si="1"/>
        <v>xx</v>
      </c>
      <c r="C10" s="10" t="str">
        <f t="shared" si="2"/>
        <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G10"/>
  <sheetViews>
    <sheetView workbookViewId="0">
      <selection activeCell="F13" sqref="F13"/>
    </sheetView>
  </sheetViews>
  <sheetFormatPr defaultRowHeight="12.3" x14ac:dyDescent="0.4"/>
  <sheetData>
    <row r="1" spans="1:7" ht="13.8" x14ac:dyDescent="0.45">
      <c r="A1" s="64" t="s">
        <v>109</v>
      </c>
      <c r="B1" s="65" t="s">
        <v>117</v>
      </c>
    </row>
    <row r="2" spans="1:7" ht="14.1" x14ac:dyDescent="0.5">
      <c r="A2" s="10" t="str">
        <f t="shared" ref="A2" si="0">IF(E2="","xx",E2)</f>
        <v>Male</v>
      </c>
      <c r="B2" s="11">
        <f>IF(E2="","xx",G2)</f>
        <v>0</v>
      </c>
      <c r="E2" s="68" t="s">
        <v>106</v>
      </c>
      <c r="F2" s="68">
        <v>0</v>
      </c>
      <c r="G2" s="68">
        <v>0</v>
      </c>
    </row>
    <row r="3" spans="1:7" ht="14.1" x14ac:dyDescent="0.5">
      <c r="A3" s="10" t="str">
        <f t="shared" ref="A3:A10" si="1">IF(E3="","xx",E3)</f>
        <v>Female</v>
      </c>
      <c r="B3" s="11">
        <f t="shared" ref="B3:B10" si="2">IF(E3="","xx",G3)</f>
        <v>1</v>
      </c>
      <c r="E3" s="68" t="s">
        <v>107</v>
      </c>
      <c r="F3" s="68">
        <v>3</v>
      </c>
      <c r="G3" s="68">
        <v>1</v>
      </c>
    </row>
    <row r="4" spans="1:7" ht="14.1" x14ac:dyDescent="0.5">
      <c r="A4" s="10" t="str">
        <f t="shared" si="1"/>
        <v>xx</v>
      </c>
      <c r="B4" s="11" t="str">
        <f t="shared" si="2"/>
        <v>xx</v>
      </c>
      <c r="E4" s="68"/>
      <c r="F4" s="68"/>
      <c r="G4" s="68"/>
    </row>
    <row r="5" spans="1:7" ht="14.1" x14ac:dyDescent="0.5">
      <c r="A5" s="10" t="str">
        <f t="shared" si="1"/>
        <v>xx</v>
      </c>
      <c r="B5" s="11" t="str">
        <f t="shared" si="2"/>
        <v>xx</v>
      </c>
      <c r="E5" s="68"/>
      <c r="F5" s="68"/>
      <c r="G5" s="68"/>
    </row>
    <row r="6" spans="1:7" ht="14.1" x14ac:dyDescent="0.5">
      <c r="A6" s="10" t="str">
        <f t="shared" si="1"/>
        <v>xx</v>
      </c>
      <c r="B6" s="11" t="str">
        <f t="shared" si="2"/>
        <v>xx</v>
      </c>
      <c r="E6" s="68"/>
      <c r="F6" s="68"/>
      <c r="G6" s="68"/>
    </row>
    <row r="7" spans="1:7" ht="14.1" x14ac:dyDescent="0.5">
      <c r="A7" s="10" t="str">
        <f t="shared" si="1"/>
        <v>xx</v>
      </c>
      <c r="B7" s="11" t="str">
        <f t="shared" si="2"/>
        <v>xx</v>
      </c>
    </row>
    <row r="8" spans="1:7" ht="14.1" x14ac:dyDescent="0.5">
      <c r="A8" s="10" t="str">
        <f t="shared" si="1"/>
        <v>xx</v>
      </c>
      <c r="B8" s="11" t="str">
        <f t="shared" si="2"/>
        <v>xx</v>
      </c>
    </row>
    <row r="9" spans="1:7" ht="14.1" x14ac:dyDescent="0.5">
      <c r="A9" s="10" t="str">
        <f t="shared" si="1"/>
        <v>xx</v>
      </c>
      <c r="B9" s="11" t="str">
        <f t="shared" si="2"/>
        <v>xx</v>
      </c>
    </row>
    <row r="10" spans="1:7" ht="14.1" x14ac:dyDescent="0.5">
      <c r="A10" s="10" t="str">
        <f t="shared" si="1"/>
        <v>xx</v>
      </c>
      <c r="B10" s="11" t="str">
        <f t="shared" si="2"/>
        <v>xx</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G33"/>
  <sheetViews>
    <sheetView workbookViewId="0">
      <selection activeCell="B3" sqref="B3"/>
    </sheetView>
  </sheetViews>
  <sheetFormatPr defaultColWidth="9.1640625" defaultRowHeight="14.1" x14ac:dyDescent="0.5"/>
  <cols>
    <col min="1" max="1" width="5.5546875" style="53" customWidth="1"/>
    <col min="2" max="2" width="85.27734375" style="8" customWidth="1"/>
    <col min="3" max="4" width="9.1640625" style="6"/>
    <col min="5" max="5" width="21.83203125" style="6" customWidth="1"/>
    <col min="6" max="16384" width="9.1640625" style="6"/>
  </cols>
  <sheetData>
    <row r="1" spans="1:7" x14ac:dyDescent="0.5">
      <c r="A1" s="52"/>
      <c r="B1" s="47"/>
    </row>
    <row r="2" spans="1:7" x14ac:dyDescent="0.5">
      <c r="A2" s="54" t="s">
        <v>95</v>
      </c>
      <c r="B2" s="8" t="str">
        <f>IF(E2 = "","0",E2)</f>
        <v>Insufficient Documentation</v>
      </c>
      <c r="C2" s="6">
        <f t="shared" ref="C2" si="0">IF(G2 = "",0,1)</f>
        <v>1</v>
      </c>
      <c r="E2" s="9" t="s">
        <v>100</v>
      </c>
      <c r="F2" s="6">
        <v>98653393.862000003</v>
      </c>
      <c r="G2" s="6">
        <v>6</v>
      </c>
    </row>
    <row r="3" spans="1:7" x14ac:dyDescent="0.5">
      <c r="A3" s="54" t="s">
        <v>95</v>
      </c>
      <c r="B3" s="8" t="str">
        <f>IF(E3 = "","0",E3)</f>
        <v>No Documentation</v>
      </c>
      <c r="C3" s="6">
        <f>IF(G3 = "",0,1)</f>
        <v>1</v>
      </c>
      <c r="E3" s="9" t="s">
        <v>99</v>
      </c>
      <c r="F3" s="6">
        <v>69202151.799999997</v>
      </c>
      <c r="G3" s="6">
        <v>8</v>
      </c>
    </row>
    <row r="4" spans="1:7" x14ac:dyDescent="0.5">
      <c r="A4" s="54" t="s">
        <v>95</v>
      </c>
      <c r="B4" s="8" t="str">
        <f>IF(E4 = "","0",E4)</f>
        <v>0</v>
      </c>
      <c r="C4" s="6">
        <f t="shared" ref="C4:C33" si="1">IF(G4 = "",0,1)</f>
        <v>0</v>
      </c>
      <c r="E4" s="9"/>
    </row>
    <row r="5" spans="1:7" x14ac:dyDescent="0.5">
      <c r="A5" s="54" t="s">
        <v>95</v>
      </c>
      <c r="B5" s="8" t="str">
        <f t="shared" ref="B5:B33" si="2">IF(E5 = "","0",E5)</f>
        <v>0</v>
      </c>
      <c r="C5" s="6">
        <f t="shared" si="1"/>
        <v>0</v>
      </c>
      <c r="E5" s="9"/>
    </row>
    <row r="6" spans="1:7" x14ac:dyDescent="0.5">
      <c r="A6" s="54" t="s">
        <v>95</v>
      </c>
      <c r="B6" s="8" t="str">
        <f t="shared" si="2"/>
        <v>0</v>
      </c>
      <c r="C6" s="6">
        <f t="shared" si="1"/>
        <v>0</v>
      </c>
      <c r="E6" s="9"/>
    </row>
    <row r="7" spans="1:7" x14ac:dyDescent="0.5">
      <c r="A7" s="54" t="s">
        <v>95</v>
      </c>
      <c r="B7" s="8" t="str">
        <f t="shared" si="2"/>
        <v>0</v>
      </c>
      <c r="C7" s="6">
        <f t="shared" si="1"/>
        <v>0</v>
      </c>
      <c r="E7" s="9"/>
    </row>
    <row r="8" spans="1:7" x14ac:dyDescent="0.5">
      <c r="A8" s="54" t="s">
        <v>95</v>
      </c>
      <c r="B8" s="8" t="str">
        <f t="shared" si="2"/>
        <v>0</v>
      </c>
      <c r="C8" s="6">
        <f t="shared" si="1"/>
        <v>0</v>
      </c>
    </row>
    <row r="9" spans="1:7" x14ac:dyDescent="0.5">
      <c r="A9" s="54" t="s">
        <v>95</v>
      </c>
      <c r="B9" s="8" t="str">
        <f t="shared" si="2"/>
        <v>0</v>
      </c>
      <c r="C9" s="6">
        <f t="shared" si="1"/>
        <v>0</v>
      </c>
    </row>
    <row r="10" spans="1:7" x14ac:dyDescent="0.5">
      <c r="A10" s="54" t="s">
        <v>95</v>
      </c>
      <c r="B10" s="8" t="str">
        <f t="shared" si="2"/>
        <v>0</v>
      </c>
      <c r="C10" s="6">
        <f t="shared" si="1"/>
        <v>0</v>
      </c>
    </row>
    <row r="11" spans="1:7" x14ac:dyDescent="0.5">
      <c r="A11" s="54" t="s">
        <v>95</v>
      </c>
      <c r="B11" s="8" t="str">
        <f t="shared" si="2"/>
        <v>0</v>
      </c>
      <c r="C11" s="6">
        <f t="shared" si="1"/>
        <v>0</v>
      </c>
    </row>
    <row r="12" spans="1:7" x14ac:dyDescent="0.5">
      <c r="A12" s="54" t="s">
        <v>95</v>
      </c>
      <c r="B12" s="8" t="str">
        <f t="shared" si="2"/>
        <v>0</v>
      </c>
      <c r="C12" s="6">
        <f t="shared" si="1"/>
        <v>0</v>
      </c>
    </row>
    <row r="13" spans="1:7" x14ac:dyDescent="0.5">
      <c r="A13" s="54" t="s">
        <v>95</v>
      </c>
      <c r="B13" s="8" t="str">
        <f t="shared" si="2"/>
        <v>0</v>
      </c>
      <c r="C13" s="6">
        <f t="shared" si="1"/>
        <v>0</v>
      </c>
    </row>
    <row r="14" spans="1:7" x14ac:dyDescent="0.5">
      <c r="A14" s="54" t="s">
        <v>95</v>
      </c>
      <c r="B14" s="8" t="str">
        <f t="shared" si="2"/>
        <v>0</v>
      </c>
      <c r="C14" s="6">
        <f t="shared" si="1"/>
        <v>0</v>
      </c>
    </row>
    <row r="15" spans="1:7" x14ac:dyDescent="0.5">
      <c r="A15" s="54" t="s">
        <v>95</v>
      </c>
      <c r="B15" s="8" t="str">
        <f t="shared" si="2"/>
        <v>0</v>
      </c>
      <c r="C15" s="6">
        <f t="shared" si="1"/>
        <v>0</v>
      </c>
    </row>
    <row r="16" spans="1:7" x14ac:dyDescent="0.5">
      <c r="A16" s="54" t="s">
        <v>95</v>
      </c>
      <c r="B16" s="8" t="str">
        <f t="shared" si="2"/>
        <v>0</v>
      </c>
      <c r="C16" s="6">
        <f t="shared" si="1"/>
        <v>0</v>
      </c>
    </row>
    <row r="17" spans="1:3" x14ac:dyDescent="0.5">
      <c r="A17" s="54" t="s">
        <v>95</v>
      </c>
      <c r="B17" s="8" t="str">
        <f t="shared" si="2"/>
        <v>0</v>
      </c>
      <c r="C17" s="6">
        <f t="shared" si="1"/>
        <v>0</v>
      </c>
    </row>
    <row r="18" spans="1:3" x14ac:dyDescent="0.5">
      <c r="A18" s="54" t="s">
        <v>95</v>
      </c>
      <c r="B18" s="8" t="str">
        <f t="shared" si="2"/>
        <v>0</v>
      </c>
      <c r="C18" s="6">
        <f t="shared" si="1"/>
        <v>0</v>
      </c>
    </row>
    <row r="19" spans="1:3" x14ac:dyDescent="0.5">
      <c r="A19" s="54" t="s">
        <v>95</v>
      </c>
      <c r="B19" s="8" t="str">
        <f t="shared" si="2"/>
        <v>0</v>
      </c>
      <c r="C19" s="6">
        <f t="shared" si="1"/>
        <v>0</v>
      </c>
    </row>
    <row r="20" spans="1:3" x14ac:dyDescent="0.5">
      <c r="A20" s="54" t="s">
        <v>95</v>
      </c>
      <c r="B20" s="8" t="str">
        <f t="shared" si="2"/>
        <v>0</v>
      </c>
      <c r="C20" s="6">
        <f t="shared" si="1"/>
        <v>0</v>
      </c>
    </row>
    <row r="21" spans="1:3" x14ac:dyDescent="0.5">
      <c r="A21" s="54" t="s">
        <v>95</v>
      </c>
      <c r="B21" s="8" t="str">
        <f t="shared" si="2"/>
        <v>0</v>
      </c>
      <c r="C21" s="6">
        <f t="shared" si="1"/>
        <v>0</v>
      </c>
    </row>
    <row r="22" spans="1:3" x14ac:dyDescent="0.5">
      <c r="A22" s="54" t="s">
        <v>95</v>
      </c>
      <c r="B22" s="8" t="str">
        <f t="shared" si="2"/>
        <v>0</v>
      </c>
      <c r="C22" s="6">
        <f t="shared" si="1"/>
        <v>0</v>
      </c>
    </row>
    <row r="23" spans="1:3" x14ac:dyDescent="0.5">
      <c r="A23" s="54" t="s">
        <v>95</v>
      </c>
      <c r="B23" s="8" t="str">
        <f t="shared" si="2"/>
        <v>0</v>
      </c>
      <c r="C23" s="6">
        <f t="shared" si="1"/>
        <v>0</v>
      </c>
    </row>
    <row r="24" spans="1:3" x14ac:dyDescent="0.5">
      <c r="A24" s="54" t="s">
        <v>95</v>
      </c>
      <c r="B24" s="8" t="str">
        <f t="shared" si="2"/>
        <v>0</v>
      </c>
      <c r="C24" s="6">
        <f t="shared" si="1"/>
        <v>0</v>
      </c>
    </row>
    <row r="25" spans="1:3" x14ac:dyDescent="0.5">
      <c r="A25" s="54" t="s">
        <v>95</v>
      </c>
      <c r="B25" s="8" t="str">
        <f t="shared" si="2"/>
        <v>0</v>
      </c>
      <c r="C25" s="6">
        <f t="shared" si="1"/>
        <v>0</v>
      </c>
    </row>
    <row r="26" spans="1:3" x14ac:dyDescent="0.5">
      <c r="A26" s="54" t="s">
        <v>95</v>
      </c>
      <c r="B26" s="8" t="str">
        <f t="shared" si="2"/>
        <v>0</v>
      </c>
      <c r="C26" s="6">
        <f t="shared" si="1"/>
        <v>0</v>
      </c>
    </row>
    <row r="27" spans="1:3" x14ac:dyDescent="0.5">
      <c r="A27" s="54" t="s">
        <v>95</v>
      </c>
      <c r="B27" s="8" t="str">
        <f t="shared" si="2"/>
        <v>0</v>
      </c>
      <c r="C27" s="6">
        <f t="shared" si="1"/>
        <v>0</v>
      </c>
    </row>
    <row r="28" spans="1:3" x14ac:dyDescent="0.5">
      <c r="A28" s="54" t="s">
        <v>95</v>
      </c>
      <c r="B28" s="8" t="str">
        <f t="shared" si="2"/>
        <v>0</v>
      </c>
      <c r="C28" s="6">
        <f t="shared" si="1"/>
        <v>0</v>
      </c>
    </row>
    <row r="29" spans="1:3" x14ac:dyDescent="0.5">
      <c r="A29" s="54" t="s">
        <v>95</v>
      </c>
      <c r="B29" s="8" t="str">
        <f t="shared" si="2"/>
        <v>0</v>
      </c>
      <c r="C29" s="6">
        <f t="shared" si="1"/>
        <v>0</v>
      </c>
    </row>
    <row r="30" spans="1:3" x14ac:dyDescent="0.5">
      <c r="A30" s="54" t="s">
        <v>95</v>
      </c>
      <c r="B30" s="8" t="str">
        <f t="shared" si="2"/>
        <v>0</v>
      </c>
      <c r="C30" s="6">
        <f t="shared" si="1"/>
        <v>0</v>
      </c>
    </row>
    <row r="31" spans="1:3" x14ac:dyDescent="0.5">
      <c r="A31" s="54" t="s">
        <v>95</v>
      </c>
      <c r="B31" s="8" t="str">
        <f t="shared" si="2"/>
        <v>0</v>
      </c>
      <c r="C31" s="6">
        <f t="shared" si="1"/>
        <v>0</v>
      </c>
    </row>
    <row r="32" spans="1:3" x14ac:dyDescent="0.5">
      <c r="A32" s="54" t="s">
        <v>95</v>
      </c>
      <c r="B32" s="8" t="str">
        <f t="shared" si="2"/>
        <v>0</v>
      </c>
      <c r="C32" s="6">
        <f t="shared" si="1"/>
        <v>0</v>
      </c>
    </row>
    <row r="33" spans="1:3" x14ac:dyDescent="0.5">
      <c r="A33" s="54" t="s">
        <v>95</v>
      </c>
      <c r="B33" s="8" t="str">
        <f t="shared" si="2"/>
        <v>0</v>
      </c>
      <c r="C33" s="6">
        <f t="shared" si="1"/>
        <v>0</v>
      </c>
    </row>
  </sheetData>
  <pageMargins left="0.7" right="0.7" top="0.75" bottom="0.75" header="0.3" footer="0.3"/>
  <pageSetup paperSize="0" orientation="portrait" horizontalDpi="0" verticalDpi="0" copie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dimension ref="B2:E27"/>
  <sheetViews>
    <sheetView workbookViewId="0">
      <selection activeCell="J21" sqref="J21"/>
    </sheetView>
  </sheetViews>
  <sheetFormatPr defaultRowHeight="12.3" x14ac:dyDescent="0.4"/>
  <sheetData>
    <row r="2" spans="2:5" x14ac:dyDescent="0.4">
      <c r="B2" s="1" t="s">
        <v>18</v>
      </c>
      <c r="C2" s="1">
        <v>1</v>
      </c>
      <c r="D2" s="1"/>
      <c r="E2" s="1" t="s">
        <v>49</v>
      </c>
    </row>
    <row r="3" spans="2:5" x14ac:dyDescent="0.4">
      <c r="B3" s="1" t="s">
        <v>19</v>
      </c>
      <c r="C3" s="1">
        <v>2</v>
      </c>
      <c r="D3" s="1"/>
      <c r="E3" s="1" t="s">
        <v>50</v>
      </c>
    </row>
    <row r="4" spans="2:5" x14ac:dyDescent="0.4">
      <c r="B4" s="1" t="s">
        <v>20</v>
      </c>
      <c r="C4" s="1">
        <v>3</v>
      </c>
      <c r="D4" s="1"/>
      <c r="E4" s="1" t="s">
        <v>51</v>
      </c>
    </row>
    <row r="5" spans="2:5" x14ac:dyDescent="0.4">
      <c r="B5" s="1" t="s">
        <v>21</v>
      </c>
      <c r="C5" s="1">
        <v>4</v>
      </c>
      <c r="D5" s="1"/>
      <c r="E5" s="1" t="s">
        <v>52</v>
      </c>
    </row>
    <row r="6" spans="2:5" x14ac:dyDescent="0.4">
      <c r="B6" s="1" t="s">
        <v>22</v>
      </c>
      <c r="C6" s="1">
        <v>5</v>
      </c>
      <c r="D6" s="1"/>
      <c r="E6" s="1" t="s">
        <v>53</v>
      </c>
    </row>
    <row r="7" spans="2:5" x14ac:dyDescent="0.4">
      <c r="B7" s="1" t="s">
        <v>23</v>
      </c>
      <c r="C7" s="1">
        <v>6</v>
      </c>
      <c r="D7" s="1"/>
      <c r="E7" s="1" t="s">
        <v>54</v>
      </c>
    </row>
    <row r="8" spans="2:5" x14ac:dyDescent="0.4">
      <c r="B8" s="1" t="s">
        <v>24</v>
      </c>
      <c r="C8" s="1">
        <v>7</v>
      </c>
      <c r="D8" s="1"/>
      <c r="E8" s="1" t="s">
        <v>55</v>
      </c>
    </row>
    <row r="9" spans="2:5" x14ac:dyDescent="0.4">
      <c r="B9" s="1" t="s">
        <v>25</v>
      </c>
      <c r="C9" s="1">
        <v>8</v>
      </c>
      <c r="D9" s="1"/>
      <c r="E9" s="1" t="s">
        <v>56</v>
      </c>
    </row>
    <row r="10" spans="2:5" x14ac:dyDescent="0.4">
      <c r="B10" s="1" t="s">
        <v>26</v>
      </c>
      <c r="C10" s="1">
        <v>9</v>
      </c>
      <c r="D10" s="1"/>
      <c r="E10" s="1" t="s">
        <v>57</v>
      </c>
    </row>
    <row r="11" spans="2:5" x14ac:dyDescent="0.4">
      <c r="B11" s="1" t="s">
        <v>27</v>
      </c>
      <c r="C11" s="1">
        <v>10</v>
      </c>
      <c r="D11" s="1"/>
      <c r="E11" s="1" t="s">
        <v>58</v>
      </c>
    </row>
    <row r="12" spans="2:5" x14ac:dyDescent="0.4">
      <c r="B12" s="1" t="s">
        <v>28</v>
      </c>
      <c r="C12" s="1">
        <v>11</v>
      </c>
      <c r="D12" s="1"/>
      <c r="E12" s="1" t="s">
        <v>59</v>
      </c>
    </row>
    <row r="13" spans="2:5" x14ac:dyDescent="0.4">
      <c r="B13" s="1" t="s">
        <v>29</v>
      </c>
      <c r="C13" s="1">
        <v>12</v>
      </c>
      <c r="D13" s="1"/>
      <c r="E13" s="1" t="s">
        <v>60</v>
      </c>
    </row>
    <row r="14" spans="2:5" x14ac:dyDescent="0.4">
      <c r="B14" s="1" t="s">
        <v>30</v>
      </c>
      <c r="C14" s="1">
        <v>13</v>
      </c>
      <c r="D14" s="1"/>
      <c r="E14" s="1" t="s">
        <v>61</v>
      </c>
    </row>
    <row r="15" spans="2:5" x14ac:dyDescent="0.4">
      <c r="B15" s="1" t="s">
        <v>31</v>
      </c>
      <c r="C15" s="1">
        <v>14</v>
      </c>
      <c r="D15" s="1"/>
      <c r="E15" s="1" t="s">
        <v>62</v>
      </c>
    </row>
    <row r="16" spans="2:5" x14ac:dyDescent="0.4">
      <c r="B16" s="1" t="s">
        <v>32</v>
      </c>
      <c r="C16" s="1">
        <v>15</v>
      </c>
      <c r="D16" s="1"/>
      <c r="E16" s="1" t="s">
        <v>63</v>
      </c>
    </row>
    <row r="17" spans="2:5" x14ac:dyDescent="0.4">
      <c r="B17" s="1" t="s">
        <v>33</v>
      </c>
      <c r="C17" s="1">
        <v>16</v>
      </c>
      <c r="D17" s="1"/>
      <c r="E17" s="1" t="s">
        <v>64</v>
      </c>
    </row>
    <row r="18" spans="2:5" x14ac:dyDescent="0.4">
      <c r="B18" s="1" t="s">
        <v>34</v>
      </c>
      <c r="C18" s="1">
        <v>17</v>
      </c>
      <c r="D18" s="1"/>
      <c r="E18" s="1" t="s">
        <v>65</v>
      </c>
    </row>
    <row r="19" spans="2:5" x14ac:dyDescent="0.4">
      <c r="B19" s="1" t="s">
        <v>35</v>
      </c>
      <c r="C19" s="1">
        <v>18</v>
      </c>
      <c r="D19" s="1"/>
      <c r="E19" s="1" t="s">
        <v>66</v>
      </c>
    </row>
    <row r="20" spans="2:5" x14ac:dyDescent="0.4">
      <c r="B20" s="1" t="s">
        <v>36</v>
      </c>
      <c r="C20" s="1">
        <v>19</v>
      </c>
      <c r="D20" s="1"/>
      <c r="E20" s="1" t="s">
        <v>67</v>
      </c>
    </row>
    <row r="21" spans="2:5" x14ac:dyDescent="0.4">
      <c r="B21" s="1" t="s">
        <v>37</v>
      </c>
      <c r="C21" s="1">
        <v>20</v>
      </c>
      <c r="D21" s="1"/>
      <c r="E21" s="1" t="s">
        <v>68</v>
      </c>
    </row>
    <row r="22" spans="2:5" x14ac:dyDescent="0.4">
      <c r="B22" s="1" t="s">
        <v>38</v>
      </c>
      <c r="C22" s="1">
        <v>21</v>
      </c>
      <c r="D22" s="1"/>
      <c r="E22" s="1" t="s">
        <v>69</v>
      </c>
    </row>
    <row r="23" spans="2:5" x14ac:dyDescent="0.4">
      <c r="B23" s="1" t="s">
        <v>39</v>
      </c>
      <c r="C23" s="1">
        <v>22</v>
      </c>
      <c r="D23" s="1"/>
      <c r="E23" s="1" t="s">
        <v>70</v>
      </c>
    </row>
    <row r="24" spans="2:5" x14ac:dyDescent="0.4">
      <c r="B24" s="1" t="s">
        <v>40</v>
      </c>
      <c r="C24" s="1">
        <v>23</v>
      </c>
      <c r="D24" s="1"/>
      <c r="E24" s="1" t="s">
        <v>71</v>
      </c>
    </row>
    <row r="25" spans="2:5" x14ac:dyDescent="0.4">
      <c r="B25" s="1" t="s">
        <v>41</v>
      </c>
      <c r="C25" s="1">
        <v>24</v>
      </c>
      <c r="D25" s="1"/>
      <c r="E25" s="1" t="s">
        <v>72</v>
      </c>
    </row>
    <row r="26" spans="2:5" x14ac:dyDescent="0.4">
      <c r="B26" s="1" t="s">
        <v>42</v>
      </c>
      <c r="C26" s="1">
        <v>25</v>
      </c>
      <c r="D26" s="1"/>
      <c r="E26" s="1" t="s">
        <v>73</v>
      </c>
    </row>
    <row r="27" spans="2:5" x14ac:dyDescent="0.4">
      <c r="B27" s="1" t="s">
        <v>43</v>
      </c>
      <c r="C27" s="1">
        <v>26</v>
      </c>
      <c r="D27" s="1"/>
      <c r="E27" s="1" t="s">
        <v>74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G15"/>
  <sheetViews>
    <sheetView topLeftCell="A2" workbookViewId="0"/>
  </sheetViews>
  <sheetFormatPr defaultRowHeight="12.3" x14ac:dyDescent="0.4"/>
  <cols>
    <col min="1" max="1" width="3.5546875" customWidth="1"/>
    <col min="2" max="2" width="69.27734375" customWidth="1"/>
  </cols>
  <sheetData>
    <row r="1" spans="1:7" x14ac:dyDescent="0.4">
      <c r="A1" s="48" t="s">
        <v>145</v>
      </c>
      <c r="B1" s="48" t="s">
        <v>146</v>
      </c>
    </row>
    <row r="2" spans="1:7" x14ac:dyDescent="0.4">
      <c r="A2" s="105" t="str">
        <f>IF(F2="","xx","l")</f>
        <v>l</v>
      </c>
      <c r="B2" t="str">
        <f>IF(F2="","xx","There are " &amp; F2 &amp; " males in company " &amp; 'Current Parameters'!A$11)</f>
        <v>There are 0 males in company B</v>
      </c>
      <c r="E2" s="68" t="s">
        <v>106</v>
      </c>
      <c r="F2" s="68">
        <v>0</v>
      </c>
      <c r="G2" s="68">
        <v>0</v>
      </c>
    </row>
    <row r="3" spans="1:7" x14ac:dyDescent="0.4">
      <c r="A3" s="105" t="str">
        <f t="shared" ref="A3:A15" si="0">IF(F3="","xx","l")</f>
        <v>l</v>
      </c>
      <c r="B3" t="str">
        <f>IF(F3="","xx","There are " &amp; F3 &amp; " males in company " &amp; 'Current Parameters'!A$11)</f>
        <v>There are 3 males in company B</v>
      </c>
      <c r="E3" s="68" t="s">
        <v>107</v>
      </c>
      <c r="F3" s="68">
        <v>3</v>
      </c>
      <c r="G3" s="68">
        <v>1</v>
      </c>
    </row>
    <row r="4" spans="1:7" x14ac:dyDescent="0.4">
      <c r="A4" s="105" t="str">
        <f t="shared" si="0"/>
        <v>xx</v>
      </c>
      <c r="B4" t="str">
        <f>IF(F4="","xx","There are " &amp; F4 &amp; " males in company " &amp; 'Current Parameters'!A$11)</f>
        <v>xx</v>
      </c>
      <c r="E4" s="68"/>
      <c r="F4" s="68"/>
      <c r="G4" s="68"/>
    </row>
    <row r="5" spans="1:7" x14ac:dyDescent="0.4">
      <c r="A5" s="105" t="str">
        <f t="shared" si="0"/>
        <v>xx</v>
      </c>
      <c r="B5" t="str">
        <f>IF(F5="","xx","There are " &amp; F5 &amp; " males in company " &amp; 'Current Parameters'!A$11)</f>
        <v>xx</v>
      </c>
      <c r="E5" s="68"/>
      <c r="F5" s="68"/>
      <c r="G5" s="68"/>
    </row>
    <row r="6" spans="1:7" x14ac:dyDescent="0.4">
      <c r="A6" s="105" t="str">
        <f t="shared" si="0"/>
        <v>xx</v>
      </c>
      <c r="B6" t="str">
        <f>IF(F6="","xx","There are " &amp; F6 &amp; " males in company " &amp; 'Current Parameters'!A$11)</f>
        <v>xx</v>
      </c>
      <c r="E6" s="68"/>
      <c r="F6" s="68"/>
      <c r="G6" s="68"/>
    </row>
    <row r="7" spans="1:7" x14ac:dyDescent="0.4">
      <c r="A7" s="105" t="str">
        <f t="shared" si="0"/>
        <v>xx</v>
      </c>
      <c r="B7" t="str">
        <f>IF(F7="","xx","There are " &amp; F7 &amp; " males in company " &amp; 'Current Parameters'!A$11)</f>
        <v>xx</v>
      </c>
    </row>
    <row r="8" spans="1:7" x14ac:dyDescent="0.4">
      <c r="A8" s="105" t="str">
        <f t="shared" si="0"/>
        <v>xx</v>
      </c>
      <c r="B8" t="str">
        <f>IF(F8="","xx","There are " &amp; F8 &amp; " males in company " &amp; 'Current Parameters'!A$11)</f>
        <v>xx</v>
      </c>
    </row>
    <row r="9" spans="1:7" x14ac:dyDescent="0.4">
      <c r="A9" s="105" t="str">
        <f t="shared" si="0"/>
        <v>xx</v>
      </c>
      <c r="B9" t="str">
        <f>IF(F9="","xx","There are " &amp; F9 &amp; " males in company " &amp; 'Current Parameters'!A$11)</f>
        <v>xx</v>
      </c>
    </row>
    <row r="10" spans="1:7" x14ac:dyDescent="0.4">
      <c r="A10" s="105" t="str">
        <f t="shared" si="0"/>
        <v>xx</v>
      </c>
      <c r="B10" t="str">
        <f>IF(F10="","xx","There are " &amp; F10 &amp; " males in company " &amp; 'Current Parameters'!A$11)</f>
        <v>xx</v>
      </c>
    </row>
    <row r="11" spans="1:7" x14ac:dyDescent="0.4">
      <c r="A11" s="105" t="str">
        <f t="shared" si="0"/>
        <v>xx</v>
      </c>
      <c r="B11" t="str">
        <f>IF(F11="","xx","There are " &amp; F11 &amp; " males in company " &amp; 'Current Parameters'!A$11)</f>
        <v>xx</v>
      </c>
    </row>
    <row r="12" spans="1:7" x14ac:dyDescent="0.4">
      <c r="A12" s="105" t="str">
        <f t="shared" si="0"/>
        <v>xx</v>
      </c>
      <c r="B12" t="str">
        <f>IF(F12="","xx","There are " &amp; F12 &amp; " males in company " &amp; 'Current Parameters'!A$11)</f>
        <v>xx</v>
      </c>
    </row>
    <row r="13" spans="1:7" x14ac:dyDescent="0.4">
      <c r="A13" s="105" t="str">
        <f t="shared" si="0"/>
        <v>xx</v>
      </c>
      <c r="B13" t="str">
        <f>IF(F13="","xx","There are " &amp; F13 &amp; " males in company " &amp; 'Current Parameters'!A$11)</f>
        <v>xx</v>
      </c>
    </row>
    <row r="14" spans="1:7" x14ac:dyDescent="0.4">
      <c r="A14" s="105" t="str">
        <f t="shared" si="0"/>
        <v>xx</v>
      </c>
      <c r="B14" t="str">
        <f>IF(F14="","xx","There are " &amp; F14 &amp; " males in company " &amp; 'Current Parameters'!A$11)</f>
        <v>xx</v>
      </c>
    </row>
    <row r="15" spans="1:7" x14ac:dyDescent="0.4">
      <c r="A15" s="105" t="str">
        <f t="shared" si="0"/>
        <v>xx</v>
      </c>
      <c r="B15" t="str">
        <f>IF(F15="","xx","There are " &amp; F15 &amp; " males in company " &amp; 'Current Parameters'!A$11)</f>
        <v>xx</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F6"/>
  <sheetViews>
    <sheetView workbookViewId="0">
      <selection activeCell="D2" sqref="D2"/>
    </sheetView>
  </sheetViews>
  <sheetFormatPr defaultColWidth="9.1640625" defaultRowHeight="12.3" x14ac:dyDescent="0.4"/>
  <cols>
    <col min="1" max="1" width="9.1640625" style="109"/>
    <col min="2" max="2" width="79.5546875" style="109" customWidth="1"/>
    <col min="3" max="3" width="14.27734375" style="109" customWidth="1"/>
    <col min="4" max="4" width="54.83203125" style="109" customWidth="1"/>
    <col min="5" max="5" width="14" style="109" customWidth="1"/>
    <col min="6" max="16384" width="9.1640625" style="109"/>
  </cols>
  <sheetData>
    <row r="1" spans="1:6" ht="45" x14ac:dyDescent="0.5">
      <c r="A1" s="107" t="s">
        <v>86</v>
      </c>
      <c r="B1" s="107" t="s">
        <v>153</v>
      </c>
      <c r="C1" s="108" t="s">
        <v>154</v>
      </c>
      <c r="D1" s="108" t="s">
        <v>155</v>
      </c>
      <c r="E1" s="108" t="s">
        <v>156</v>
      </c>
      <c r="F1" s="107"/>
    </row>
    <row r="2" spans="1:6" x14ac:dyDescent="0.4">
      <c r="A2" s="110">
        <v>1</v>
      </c>
      <c r="B2" s="111" t="str">
        <f>"Company " &amp; 'Current Parameters'!A11 &amp; " Report"</f>
        <v>Company B Report</v>
      </c>
      <c r="C2" s="111" t="s">
        <v>157</v>
      </c>
      <c r="D2" s="111"/>
      <c r="E2" s="111" t="s">
        <v>158</v>
      </c>
    </row>
    <row r="3" spans="1:6" ht="15" x14ac:dyDescent="0.5">
      <c r="A3" s="110">
        <v>2</v>
      </c>
      <c r="B3" s="112"/>
      <c r="C3" s="111" t="s">
        <v>157</v>
      </c>
      <c r="D3" s="113"/>
      <c r="E3" s="111" t="s">
        <v>158</v>
      </c>
    </row>
    <row r="4" spans="1:6" ht="15" x14ac:dyDescent="0.5">
      <c r="A4" s="110">
        <v>3</v>
      </c>
      <c r="B4" s="112"/>
      <c r="C4" s="111" t="s">
        <v>157</v>
      </c>
      <c r="D4" s="113"/>
      <c r="E4" s="111" t="s">
        <v>158</v>
      </c>
    </row>
    <row r="5" spans="1:6" ht="15" x14ac:dyDescent="0.5">
      <c r="A5" s="110">
        <v>4</v>
      </c>
      <c r="B5" s="112"/>
      <c r="C5" s="111" t="s">
        <v>157</v>
      </c>
      <c r="D5" s="113"/>
      <c r="E5" s="111" t="s">
        <v>158</v>
      </c>
    </row>
    <row r="6" spans="1:6" x14ac:dyDescent="0.4">
      <c r="A6" s="110">
        <v>5</v>
      </c>
      <c r="B6" s="111"/>
      <c r="C6" s="111" t="s">
        <v>157</v>
      </c>
      <c r="D6" s="111"/>
      <c r="E6" s="111" t="s">
        <v>158</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1:A2"/>
  <sheetViews>
    <sheetView workbookViewId="0">
      <selection activeCell="H23" sqref="H23"/>
    </sheetView>
  </sheetViews>
  <sheetFormatPr defaultColWidth="9.1640625" defaultRowHeight="12.3" x14ac:dyDescent="0.4"/>
  <cols>
    <col min="1" max="1" width="79.5546875" style="82" customWidth="1"/>
    <col min="2" max="16384" width="9.1640625" style="82"/>
  </cols>
  <sheetData>
    <row r="1" spans="1:1" ht="15" x14ac:dyDescent="0.5">
      <c r="A1" s="84" t="s">
        <v>138</v>
      </c>
    </row>
    <row r="2" spans="1:1" ht="15" x14ac:dyDescent="0.5">
      <c r="A2" s="83" t="str">
        <f ca="1">"Report for Company " &amp; 'Current Parameters'!A11 &amp; " - " &amp; Date!C2 &amp; "/" &amp; Date!B2 &amp; "/" &amp; Date!D2</f>
        <v>Report for Company B - 2/19/2024</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dimension ref="A1:U104"/>
  <sheetViews>
    <sheetView topLeftCell="E1" zoomScale="80" zoomScaleNormal="80" workbookViewId="0">
      <selection activeCell="K8" sqref="K8"/>
    </sheetView>
  </sheetViews>
  <sheetFormatPr defaultColWidth="9.1640625" defaultRowHeight="15.3" x14ac:dyDescent="0.55000000000000004"/>
  <cols>
    <col min="1" max="2" width="9.1640625" style="92"/>
    <col min="3" max="3" width="20" style="87" customWidth="1"/>
    <col min="4" max="4" width="35.1640625" style="93" customWidth="1"/>
    <col min="5" max="6" width="35.1640625" style="89" customWidth="1"/>
    <col min="7" max="7" width="16.1640625" style="87" customWidth="1"/>
    <col min="8" max="9" width="9.1640625" style="87"/>
    <col min="10" max="10" width="9.1640625" style="92"/>
    <col min="11" max="11" width="9.1640625" style="99"/>
    <col min="12" max="12" width="9.1640625" style="92"/>
    <col min="13" max="15" width="9.1640625" style="87"/>
    <col min="16" max="16" width="9.1640625" style="92"/>
    <col min="17" max="17" width="9.1640625" style="99"/>
    <col min="18" max="18" width="9.1640625" style="92"/>
    <col min="19" max="16384" width="9.1640625" style="87"/>
  </cols>
  <sheetData>
    <row r="1" spans="1:21" ht="15" x14ac:dyDescent="0.5">
      <c r="A1" s="96" t="s">
        <v>86</v>
      </c>
      <c r="B1" s="96" t="s">
        <v>87</v>
      </c>
      <c r="C1" s="87" t="s">
        <v>88</v>
      </c>
      <c r="D1" s="95" t="s">
        <v>89</v>
      </c>
      <c r="G1" s="97" t="s">
        <v>91</v>
      </c>
      <c r="J1" s="96" t="s">
        <v>86</v>
      </c>
      <c r="K1" s="100" t="s">
        <v>90</v>
      </c>
      <c r="L1" s="96" t="s">
        <v>141</v>
      </c>
      <c r="M1" s="88"/>
      <c r="N1" s="88"/>
      <c r="O1" s="88"/>
      <c r="P1" s="91" t="s">
        <v>86</v>
      </c>
      <c r="Q1" s="98" t="s">
        <v>94</v>
      </c>
      <c r="R1" s="91" t="s">
        <v>140</v>
      </c>
      <c r="S1" s="88"/>
      <c r="T1" s="88"/>
      <c r="U1" s="88"/>
    </row>
    <row r="2" spans="1:21" ht="30.6" x14ac:dyDescent="0.55000000000000004">
      <c r="A2" s="91">
        <v>1</v>
      </c>
      <c r="B2" s="92">
        <f>IF('Figure 1'!$A$3="xx",0,1)</f>
        <v>1</v>
      </c>
      <c r="D2" s="93" t="str">
        <f>CONCATENATE("All employees at ",'Report Numbers'!C2," are the same age.")</f>
        <v>All employees at Company B are the same age.</v>
      </c>
      <c r="J2" s="92">
        <v>99</v>
      </c>
      <c r="K2" s="99" t="s">
        <v>92</v>
      </c>
      <c r="L2" s="92">
        <f>IF(VLOOKUP(J2,Xsection,2,FALSE)=0,0,1)</f>
        <v>1</v>
      </c>
      <c r="P2" s="92">
        <v>1</v>
      </c>
      <c r="Q2" s="98" t="s">
        <v>92</v>
      </c>
      <c r="R2" s="92">
        <f>IF(VLOOKUP(P2,Xsection,2,FALSE)=0,0,1)</f>
        <v>1</v>
      </c>
    </row>
    <row r="3" spans="1:21" ht="30.6" x14ac:dyDescent="0.55000000000000004">
      <c r="A3" s="91">
        <v>2</v>
      </c>
      <c r="B3" s="92">
        <f>IF(OR('Figure 2'!B2=1,'Figure 2'!B3=1),0,1)</f>
        <v>0</v>
      </c>
      <c r="D3" s="93" t="str">
        <f>IF(B3=1,"",IF(VLOOKUP('Current Parameters'!A11,companies,3)=0,F3,E3))</f>
        <v>All employees at Company B are female so no analysis is provided.</v>
      </c>
      <c r="E3" s="90" t="str">
        <f>CONCATENATE("All employees at ",'Report Numbers'!C2," are male so no analysis is provided.")</f>
        <v>All employees at Company B are male so no analysis is provided.</v>
      </c>
      <c r="F3" s="90" t="str">
        <f>CONCATENATE("All employees at ",'Report Numbers'!C2," are female so no analysis is provided.")</f>
        <v>All employees at Company B are female so no analysis is provided.</v>
      </c>
      <c r="J3" s="92">
        <v>99</v>
      </c>
      <c r="K3" s="99" t="s">
        <v>93</v>
      </c>
      <c r="L3" s="92">
        <f>IF(VLOOKUP(J3,Xsection,2,FALSE)=0,L2,L2+1)</f>
        <v>2</v>
      </c>
      <c r="P3" s="92">
        <v>2</v>
      </c>
      <c r="Q3" s="98" t="s">
        <v>93</v>
      </c>
      <c r="R3" s="92">
        <f t="shared" ref="R3" si="0">IF(VLOOKUP(P3,Xsection,2,FALSE)=0,R2,1+R2)</f>
        <v>1</v>
      </c>
    </row>
    <row r="4" spans="1:21" x14ac:dyDescent="0.55000000000000004">
      <c r="A4" s="91"/>
      <c r="J4" s="92">
        <v>99</v>
      </c>
      <c r="K4" s="98" t="s">
        <v>195</v>
      </c>
      <c r="L4" s="92">
        <f>IF(VLOOKUP(J4,Xsection,2,FALSE)=0,L3,L3+1)</f>
        <v>3</v>
      </c>
      <c r="Q4" s="98"/>
    </row>
    <row r="5" spans="1:21" x14ac:dyDescent="0.55000000000000004">
      <c r="A5" s="91"/>
      <c r="J5" s="92">
        <v>99</v>
      </c>
      <c r="K5" s="98" t="s">
        <v>206</v>
      </c>
      <c r="L5" s="92">
        <f>IF(VLOOKUP(J5,Xsection,2,FALSE)=0,L4,L4+1)</f>
        <v>4</v>
      </c>
      <c r="Q5" s="98"/>
    </row>
    <row r="6" spans="1:21" x14ac:dyDescent="0.55000000000000004">
      <c r="A6" s="91"/>
      <c r="Q6" s="98"/>
    </row>
    <row r="7" spans="1:21" x14ac:dyDescent="0.55000000000000004">
      <c r="A7" s="91"/>
      <c r="E7" s="90"/>
      <c r="Q7" s="98"/>
    </row>
    <row r="8" spans="1:21" x14ac:dyDescent="0.55000000000000004">
      <c r="A8" s="91"/>
      <c r="E8" s="90"/>
      <c r="Q8" s="98"/>
    </row>
    <row r="9" spans="1:21" x14ac:dyDescent="0.55000000000000004">
      <c r="A9" s="91"/>
      <c r="E9" s="90"/>
      <c r="K9" s="98"/>
      <c r="Q9" s="98"/>
    </row>
    <row r="10" spans="1:21" x14ac:dyDescent="0.55000000000000004">
      <c r="A10" s="91"/>
      <c r="E10" s="90"/>
      <c r="Q10" s="98"/>
    </row>
    <row r="11" spans="1:21" x14ac:dyDescent="0.55000000000000004">
      <c r="A11" s="91"/>
      <c r="E11" s="90"/>
      <c r="Q11" s="98"/>
    </row>
    <row r="12" spans="1:21" x14ac:dyDescent="0.55000000000000004">
      <c r="A12" s="91"/>
      <c r="E12" s="90"/>
      <c r="K12" s="98"/>
      <c r="Q12" s="98"/>
    </row>
    <row r="13" spans="1:21" x14ac:dyDescent="0.55000000000000004">
      <c r="A13" s="91"/>
      <c r="E13" s="90"/>
      <c r="Q13" s="98"/>
    </row>
    <row r="14" spans="1:21" ht="14.4" x14ac:dyDescent="0.4">
      <c r="A14" s="91"/>
      <c r="D14" s="94"/>
      <c r="E14" s="90"/>
      <c r="K14" s="98"/>
      <c r="Q14" s="98"/>
    </row>
    <row r="15" spans="1:21" ht="14.4" x14ac:dyDescent="0.4">
      <c r="A15" s="91"/>
      <c r="D15" s="94"/>
      <c r="E15" s="90"/>
      <c r="Q15" s="98"/>
    </row>
    <row r="16" spans="1:21" x14ac:dyDescent="0.55000000000000004">
      <c r="C16" s="87">
        <v>5</v>
      </c>
      <c r="Q16" s="98"/>
    </row>
    <row r="17" spans="1:11" x14ac:dyDescent="0.55000000000000004">
      <c r="C17" s="87">
        <v>3</v>
      </c>
    </row>
    <row r="18" spans="1:11" x14ac:dyDescent="0.55000000000000004">
      <c r="C18" s="87">
        <v>39</v>
      </c>
      <c r="K18" s="98"/>
    </row>
    <row r="19" spans="1:11" x14ac:dyDescent="0.55000000000000004">
      <c r="C19" s="87">
        <v>24</v>
      </c>
      <c r="K19" s="98"/>
    </row>
    <row r="20" spans="1:11" x14ac:dyDescent="0.55000000000000004">
      <c r="C20" s="87">
        <v>12</v>
      </c>
    </row>
    <row r="21" spans="1:11" x14ac:dyDescent="0.55000000000000004">
      <c r="C21" s="87">
        <v>16</v>
      </c>
      <c r="K21" s="98"/>
    </row>
    <row r="22" spans="1:11" x14ac:dyDescent="0.55000000000000004">
      <c r="C22" s="87">
        <v>8</v>
      </c>
    </row>
    <row r="23" spans="1:11" x14ac:dyDescent="0.55000000000000004">
      <c r="C23" s="87">
        <v>80</v>
      </c>
      <c r="K23" s="98"/>
    </row>
    <row r="24" spans="1:11" x14ac:dyDescent="0.55000000000000004">
      <c r="C24" s="87">
        <v>24</v>
      </c>
      <c r="K24" s="98"/>
    </row>
    <row r="25" spans="1:11" x14ac:dyDescent="0.55000000000000004">
      <c r="E25" s="90"/>
    </row>
    <row r="26" spans="1:11" x14ac:dyDescent="0.55000000000000004">
      <c r="E26" s="90"/>
    </row>
    <row r="28" spans="1:11" x14ac:dyDescent="0.55000000000000004">
      <c r="E28" s="90"/>
    </row>
    <row r="29" spans="1:11" x14ac:dyDescent="0.55000000000000004">
      <c r="A29" s="91"/>
    </row>
    <row r="30" spans="1:11" x14ac:dyDescent="0.55000000000000004">
      <c r="A30" s="91"/>
    </row>
    <row r="31" spans="1:11" x14ac:dyDescent="0.55000000000000004">
      <c r="A31" s="91"/>
    </row>
    <row r="32" spans="1:11" x14ac:dyDescent="0.55000000000000004">
      <c r="A32" s="91"/>
      <c r="K32" s="98"/>
    </row>
    <row r="33" spans="1:11" x14ac:dyDescent="0.55000000000000004">
      <c r="A33" s="91"/>
      <c r="K33" s="98"/>
    </row>
    <row r="34" spans="1:11" x14ac:dyDescent="0.55000000000000004">
      <c r="K34" s="98"/>
    </row>
    <row r="104" spans="1:2" x14ac:dyDescent="0.55000000000000004">
      <c r="A104" s="92">
        <v>99</v>
      </c>
      <c r="B104" s="92">
        <v>1</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3"/>
  <dimension ref="A1:D103"/>
  <sheetViews>
    <sheetView workbookViewId="0">
      <selection activeCell="D2" sqref="D2"/>
    </sheetView>
  </sheetViews>
  <sheetFormatPr defaultColWidth="9.1640625" defaultRowHeight="14.4" x14ac:dyDescent="0.55000000000000004"/>
  <cols>
    <col min="1" max="1" width="8.83203125" style="49" bestFit="1" customWidth="1"/>
    <col min="2" max="2" width="13.44140625" style="49" bestFit="1" customWidth="1"/>
    <col min="3" max="16384" width="9.1640625" style="49"/>
  </cols>
  <sheetData>
    <row r="1" spans="1:4" x14ac:dyDescent="0.55000000000000004">
      <c r="A1" s="48" t="s">
        <v>101</v>
      </c>
      <c r="B1" s="48" t="s">
        <v>102</v>
      </c>
      <c r="C1" s="48" t="s">
        <v>110</v>
      </c>
      <c r="D1" s="48" t="s">
        <v>111</v>
      </c>
    </row>
    <row r="2" spans="1:4" x14ac:dyDescent="0.55000000000000004">
      <c r="A2" s="48" t="s">
        <v>18</v>
      </c>
      <c r="B2">
        <v>30</v>
      </c>
      <c r="C2">
        <v>17</v>
      </c>
      <c r="D2">
        <v>13</v>
      </c>
    </row>
    <row r="3" spans="1:4" x14ac:dyDescent="0.55000000000000004">
      <c r="A3" s="48" t="s">
        <v>19</v>
      </c>
      <c r="B3">
        <v>3</v>
      </c>
      <c r="C3">
        <v>0</v>
      </c>
      <c r="D3">
        <v>3</v>
      </c>
    </row>
    <row r="4" spans="1:4" x14ac:dyDescent="0.55000000000000004">
      <c r="A4"/>
      <c r="B4"/>
      <c r="C4"/>
      <c r="D4"/>
    </row>
    <row r="5" spans="1:4" x14ac:dyDescent="0.55000000000000004">
      <c r="A5"/>
      <c r="B5"/>
      <c r="C5"/>
      <c r="D5"/>
    </row>
    <row r="6" spans="1:4" x14ac:dyDescent="0.55000000000000004">
      <c r="A6"/>
      <c r="B6"/>
      <c r="C6"/>
      <c r="D6"/>
    </row>
    <row r="7" spans="1:4" x14ac:dyDescent="0.55000000000000004">
      <c r="A7"/>
      <c r="B7"/>
      <c r="C7"/>
      <c r="D7"/>
    </row>
    <row r="8" spans="1:4" x14ac:dyDescent="0.55000000000000004">
      <c r="A8"/>
      <c r="B8"/>
      <c r="C8"/>
      <c r="D8"/>
    </row>
    <row r="9" spans="1:4" x14ac:dyDescent="0.55000000000000004">
      <c r="A9"/>
      <c r="B9"/>
      <c r="C9"/>
      <c r="D9"/>
    </row>
    <row r="10" spans="1:4" x14ac:dyDescent="0.55000000000000004">
      <c r="A10"/>
      <c r="B10"/>
      <c r="C10"/>
      <c r="D10"/>
    </row>
    <row r="11" spans="1:4" x14ac:dyDescent="0.55000000000000004">
      <c r="A11"/>
      <c r="B11"/>
      <c r="C11"/>
      <c r="D11"/>
    </row>
    <row r="12" spans="1:4" x14ac:dyDescent="0.55000000000000004">
      <c r="A12"/>
      <c r="B12"/>
      <c r="C12"/>
      <c r="D12"/>
    </row>
    <row r="13" spans="1:4" x14ac:dyDescent="0.55000000000000004">
      <c r="A13"/>
      <c r="B13"/>
      <c r="C13"/>
      <c r="D13"/>
    </row>
    <row r="14" spans="1:4" x14ac:dyDescent="0.55000000000000004">
      <c r="A14"/>
      <c r="B14"/>
      <c r="C14"/>
      <c r="D14"/>
    </row>
    <row r="15" spans="1:4" x14ac:dyDescent="0.55000000000000004">
      <c r="A15"/>
      <c r="B15"/>
      <c r="C15"/>
      <c r="D15"/>
    </row>
    <row r="16" spans="1:4" x14ac:dyDescent="0.55000000000000004">
      <c r="A16"/>
      <c r="B16"/>
      <c r="C16"/>
      <c r="D16"/>
    </row>
    <row r="17" spans="1:4" x14ac:dyDescent="0.55000000000000004">
      <c r="A17"/>
      <c r="B17"/>
      <c r="C17"/>
      <c r="D17"/>
    </row>
    <row r="18" spans="1:4" x14ac:dyDescent="0.55000000000000004">
      <c r="A18"/>
      <c r="B18"/>
      <c r="C18"/>
      <c r="D18"/>
    </row>
    <row r="19" spans="1:4" x14ac:dyDescent="0.55000000000000004">
      <c r="A19"/>
      <c r="B19"/>
      <c r="C19"/>
      <c r="D19"/>
    </row>
    <row r="20" spans="1:4" x14ac:dyDescent="0.55000000000000004">
      <c r="A20"/>
      <c r="B20"/>
      <c r="C20"/>
      <c r="D20"/>
    </row>
    <row r="21" spans="1:4" x14ac:dyDescent="0.55000000000000004">
      <c r="A21"/>
      <c r="B21"/>
      <c r="C21"/>
      <c r="D21"/>
    </row>
    <row r="22" spans="1:4" x14ac:dyDescent="0.55000000000000004">
      <c r="A22"/>
      <c r="B22"/>
      <c r="C22"/>
      <c r="D22"/>
    </row>
    <row r="23" spans="1:4" x14ac:dyDescent="0.55000000000000004">
      <c r="A23"/>
      <c r="B23"/>
      <c r="C23"/>
      <c r="D23"/>
    </row>
    <row r="24" spans="1:4" x14ac:dyDescent="0.55000000000000004">
      <c r="A24"/>
      <c r="B24"/>
      <c r="C24"/>
      <c r="D24"/>
    </row>
    <row r="25" spans="1:4" x14ac:dyDescent="0.55000000000000004">
      <c r="A25"/>
      <c r="B25"/>
      <c r="C25"/>
      <c r="D25"/>
    </row>
    <row r="26" spans="1:4" x14ac:dyDescent="0.55000000000000004">
      <c r="A26"/>
      <c r="B26"/>
      <c r="C26"/>
      <c r="D26"/>
    </row>
    <row r="27" spans="1:4" x14ac:dyDescent="0.55000000000000004">
      <c r="A27"/>
      <c r="B27"/>
      <c r="C27"/>
      <c r="D27"/>
    </row>
    <row r="28" spans="1:4" x14ac:dyDescent="0.55000000000000004">
      <c r="A28"/>
      <c r="B28"/>
      <c r="C28"/>
      <c r="D28"/>
    </row>
    <row r="29" spans="1:4" x14ac:dyDescent="0.55000000000000004">
      <c r="A29"/>
      <c r="B29"/>
      <c r="C29"/>
      <c r="D29"/>
    </row>
    <row r="30" spans="1:4" x14ac:dyDescent="0.55000000000000004">
      <c r="A30"/>
      <c r="B30"/>
      <c r="C30"/>
      <c r="D30"/>
    </row>
    <row r="31" spans="1:4" x14ac:dyDescent="0.55000000000000004">
      <c r="A31"/>
      <c r="B31"/>
      <c r="C31"/>
      <c r="D31"/>
    </row>
    <row r="32" spans="1:4" x14ac:dyDescent="0.55000000000000004">
      <c r="A32"/>
      <c r="B32"/>
      <c r="C32"/>
      <c r="D32"/>
    </row>
    <row r="33" spans="1:4" x14ac:dyDescent="0.55000000000000004">
      <c r="A33"/>
      <c r="B33"/>
      <c r="C33"/>
      <c r="D33"/>
    </row>
    <row r="34" spans="1:4" x14ac:dyDescent="0.55000000000000004">
      <c r="A34"/>
      <c r="B34"/>
      <c r="C34"/>
      <c r="D34"/>
    </row>
    <row r="35" spans="1:4" x14ac:dyDescent="0.55000000000000004">
      <c r="A35"/>
      <c r="B35"/>
      <c r="C35"/>
      <c r="D35"/>
    </row>
    <row r="36" spans="1:4" x14ac:dyDescent="0.55000000000000004">
      <c r="A36"/>
      <c r="B36"/>
      <c r="C36"/>
      <c r="D36"/>
    </row>
    <row r="37" spans="1:4" x14ac:dyDescent="0.55000000000000004">
      <c r="A37"/>
      <c r="B37"/>
      <c r="C37"/>
      <c r="D37"/>
    </row>
    <row r="38" spans="1:4" x14ac:dyDescent="0.55000000000000004">
      <c r="A38"/>
      <c r="B38"/>
      <c r="C38"/>
      <c r="D38"/>
    </row>
    <row r="39" spans="1:4" x14ac:dyDescent="0.55000000000000004">
      <c r="A39"/>
      <c r="B39"/>
      <c r="C39"/>
      <c r="D39"/>
    </row>
    <row r="40" spans="1:4" x14ac:dyDescent="0.55000000000000004">
      <c r="A40"/>
      <c r="B40"/>
      <c r="C40"/>
      <c r="D40"/>
    </row>
    <row r="41" spans="1:4" x14ac:dyDescent="0.55000000000000004">
      <c r="A41"/>
      <c r="B41"/>
      <c r="C41"/>
      <c r="D41"/>
    </row>
    <row r="42" spans="1:4" x14ac:dyDescent="0.55000000000000004">
      <c r="A42"/>
      <c r="B42"/>
      <c r="C42"/>
      <c r="D42"/>
    </row>
    <row r="43" spans="1:4" x14ac:dyDescent="0.55000000000000004">
      <c r="A43"/>
      <c r="B43"/>
      <c r="C43"/>
      <c r="D43"/>
    </row>
    <row r="44" spans="1:4" x14ac:dyDescent="0.55000000000000004">
      <c r="A44"/>
      <c r="B44"/>
      <c r="C44"/>
      <c r="D44"/>
    </row>
    <row r="45" spans="1:4" x14ac:dyDescent="0.55000000000000004">
      <c r="A45"/>
      <c r="B45"/>
      <c r="C45"/>
      <c r="D45"/>
    </row>
    <row r="46" spans="1:4" x14ac:dyDescent="0.55000000000000004">
      <c r="A46"/>
      <c r="B46"/>
      <c r="C46"/>
      <c r="D46"/>
    </row>
    <row r="47" spans="1:4" x14ac:dyDescent="0.55000000000000004">
      <c r="A47"/>
      <c r="B47"/>
      <c r="C47"/>
      <c r="D47"/>
    </row>
    <row r="48" spans="1:4" x14ac:dyDescent="0.55000000000000004">
      <c r="A48"/>
      <c r="B48"/>
      <c r="C48"/>
      <c r="D48"/>
    </row>
    <row r="49" spans="1:4" x14ac:dyDescent="0.55000000000000004">
      <c r="A49"/>
      <c r="B49"/>
      <c r="C49"/>
      <c r="D49"/>
    </row>
    <row r="50" spans="1:4" x14ac:dyDescent="0.55000000000000004">
      <c r="A50"/>
      <c r="B50"/>
      <c r="C50"/>
      <c r="D50"/>
    </row>
    <row r="51" spans="1:4" x14ac:dyDescent="0.55000000000000004">
      <c r="A51"/>
      <c r="B51"/>
      <c r="C51"/>
      <c r="D51"/>
    </row>
    <row r="52" spans="1:4" x14ac:dyDescent="0.55000000000000004">
      <c r="A52"/>
      <c r="B52"/>
      <c r="C52"/>
      <c r="D52"/>
    </row>
    <row r="53" spans="1:4" x14ac:dyDescent="0.55000000000000004">
      <c r="A53"/>
      <c r="B53"/>
      <c r="C53"/>
      <c r="D53"/>
    </row>
    <row r="54" spans="1:4" x14ac:dyDescent="0.55000000000000004">
      <c r="A54"/>
      <c r="B54"/>
      <c r="C54"/>
      <c r="D54"/>
    </row>
    <row r="55" spans="1:4" x14ac:dyDescent="0.55000000000000004">
      <c r="A55"/>
      <c r="B55"/>
      <c r="C55"/>
      <c r="D55"/>
    </row>
    <row r="56" spans="1:4" x14ac:dyDescent="0.55000000000000004">
      <c r="A56"/>
      <c r="B56"/>
      <c r="C56"/>
      <c r="D56"/>
    </row>
    <row r="57" spans="1:4" x14ac:dyDescent="0.55000000000000004">
      <c r="A57"/>
      <c r="B57"/>
      <c r="C57"/>
      <c r="D57"/>
    </row>
    <row r="58" spans="1:4" x14ac:dyDescent="0.55000000000000004">
      <c r="A58"/>
      <c r="B58"/>
      <c r="C58"/>
      <c r="D58"/>
    </row>
    <row r="59" spans="1:4" x14ac:dyDescent="0.55000000000000004">
      <c r="A59"/>
      <c r="B59"/>
      <c r="C59"/>
      <c r="D59"/>
    </row>
    <row r="60" spans="1:4" x14ac:dyDescent="0.55000000000000004">
      <c r="A60"/>
      <c r="B60"/>
      <c r="C60"/>
      <c r="D60"/>
    </row>
    <row r="61" spans="1:4" x14ac:dyDescent="0.55000000000000004">
      <c r="A61"/>
      <c r="B61"/>
      <c r="C61"/>
      <c r="D61"/>
    </row>
    <row r="62" spans="1:4" x14ac:dyDescent="0.55000000000000004">
      <c r="A62"/>
      <c r="B62"/>
      <c r="C62"/>
      <c r="D62"/>
    </row>
    <row r="63" spans="1:4" x14ac:dyDescent="0.55000000000000004">
      <c r="A63"/>
      <c r="B63"/>
      <c r="C63"/>
      <c r="D63"/>
    </row>
    <row r="64" spans="1:4" x14ac:dyDescent="0.55000000000000004">
      <c r="A64"/>
      <c r="B64"/>
      <c r="C64"/>
      <c r="D64"/>
    </row>
    <row r="65" spans="1:4" x14ac:dyDescent="0.55000000000000004">
      <c r="A65"/>
      <c r="B65"/>
      <c r="C65"/>
      <c r="D65"/>
    </row>
    <row r="66" spans="1:4" x14ac:dyDescent="0.55000000000000004">
      <c r="A66"/>
      <c r="B66"/>
      <c r="C66"/>
      <c r="D66"/>
    </row>
    <row r="67" spans="1:4" x14ac:dyDescent="0.55000000000000004">
      <c r="A67"/>
      <c r="B67"/>
      <c r="C67"/>
      <c r="D67"/>
    </row>
    <row r="68" spans="1:4" x14ac:dyDescent="0.55000000000000004">
      <c r="A68"/>
      <c r="B68"/>
      <c r="C68"/>
      <c r="D68"/>
    </row>
    <row r="69" spans="1:4" x14ac:dyDescent="0.55000000000000004">
      <c r="A69"/>
      <c r="B69"/>
      <c r="C69"/>
      <c r="D69"/>
    </row>
    <row r="70" spans="1:4" x14ac:dyDescent="0.55000000000000004">
      <c r="A70"/>
      <c r="B70"/>
      <c r="C70"/>
      <c r="D70"/>
    </row>
    <row r="71" spans="1:4" x14ac:dyDescent="0.55000000000000004">
      <c r="A71"/>
      <c r="B71"/>
      <c r="C71"/>
      <c r="D71"/>
    </row>
    <row r="72" spans="1:4" x14ac:dyDescent="0.55000000000000004">
      <c r="A72"/>
      <c r="B72"/>
      <c r="C72"/>
      <c r="D72"/>
    </row>
    <row r="73" spans="1:4" x14ac:dyDescent="0.55000000000000004">
      <c r="A73"/>
      <c r="B73"/>
      <c r="C73"/>
      <c r="D73"/>
    </row>
    <row r="74" spans="1:4" x14ac:dyDescent="0.55000000000000004">
      <c r="A74"/>
      <c r="B74"/>
      <c r="C74"/>
      <c r="D74"/>
    </row>
    <row r="75" spans="1:4" x14ac:dyDescent="0.55000000000000004">
      <c r="A75"/>
      <c r="B75"/>
      <c r="C75"/>
      <c r="D75"/>
    </row>
    <row r="76" spans="1:4" x14ac:dyDescent="0.55000000000000004">
      <c r="A76"/>
      <c r="B76"/>
      <c r="C76"/>
      <c r="D76"/>
    </row>
    <row r="77" spans="1:4" x14ac:dyDescent="0.55000000000000004">
      <c r="A77"/>
      <c r="B77"/>
      <c r="C77"/>
      <c r="D77"/>
    </row>
    <row r="78" spans="1:4" x14ac:dyDescent="0.55000000000000004">
      <c r="A78"/>
      <c r="B78"/>
      <c r="C78"/>
      <c r="D78"/>
    </row>
    <row r="79" spans="1:4" x14ac:dyDescent="0.55000000000000004">
      <c r="A79"/>
      <c r="B79"/>
      <c r="C79"/>
      <c r="D79"/>
    </row>
    <row r="80" spans="1:4" x14ac:dyDescent="0.55000000000000004">
      <c r="A80"/>
      <c r="B80"/>
      <c r="C80"/>
      <c r="D80"/>
    </row>
    <row r="81" spans="1:4" x14ac:dyDescent="0.55000000000000004">
      <c r="A81"/>
      <c r="B81"/>
      <c r="C81"/>
      <c r="D81"/>
    </row>
    <row r="82" spans="1:4" x14ac:dyDescent="0.55000000000000004">
      <c r="A82"/>
      <c r="B82"/>
      <c r="C82"/>
      <c r="D82"/>
    </row>
    <row r="83" spans="1:4" x14ac:dyDescent="0.55000000000000004">
      <c r="A83"/>
      <c r="B83"/>
      <c r="C83"/>
      <c r="D83"/>
    </row>
    <row r="84" spans="1:4" x14ac:dyDescent="0.55000000000000004">
      <c r="A84"/>
      <c r="B84"/>
      <c r="C84"/>
      <c r="D84"/>
    </row>
    <row r="85" spans="1:4" x14ac:dyDescent="0.55000000000000004">
      <c r="A85"/>
      <c r="B85"/>
      <c r="C85"/>
      <c r="D85"/>
    </row>
    <row r="86" spans="1:4" x14ac:dyDescent="0.55000000000000004">
      <c r="A86"/>
      <c r="B86"/>
      <c r="C86"/>
      <c r="D86"/>
    </row>
    <row r="87" spans="1:4" x14ac:dyDescent="0.55000000000000004">
      <c r="A87"/>
      <c r="B87"/>
      <c r="C87"/>
      <c r="D87"/>
    </row>
    <row r="88" spans="1:4" x14ac:dyDescent="0.55000000000000004">
      <c r="A88"/>
      <c r="B88"/>
      <c r="C88"/>
      <c r="D88"/>
    </row>
    <row r="89" spans="1:4" x14ac:dyDescent="0.55000000000000004">
      <c r="A89"/>
      <c r="B89"/>
      <c r="C89"/>
      <c r="D89"/>
    </row>
    <row r="90" spans="1:4" x14ac:dyDescent="0.55000000000000004">
      <c r="A90"/>
      <c r="B90"/>
      <c r="C90"/>
      <c r="D90"/>
    </row>
    <row r="91" spans="1:4" x14ac:dyDescent="0.55000000000000004">
      <c r="A91"/>
      <c r="B91"/>
      <c r="C91"/>
      <c r="D91"/>
    </row>
    <row r="92" spans="1:4" x14ac:dyDescent="0.55000000000000004">
      <c r="A92"/>
      <c r="B92"/>
      <c r="C92"/>
      <c r="D92"/>
    </row>
    <row r="93" spans="1:4" x14ac:dyDescent="0.55000000000000004">
      <c r="A93"/>
      <c r="B93"/>
      <c r="C93"/>
      <c r="D93"/>
    </row>
    <row r="94" spans="1:4" x14ac:dyDescent="0.55000000000000004">
      <c r="A94"/>
      <c r="B94"/>
      <c r="C94"/>
      <c r="D94"/>
    </row>
    <row r="95" spans="1:4" x14ac:dyDescent="0.55000000000000004">
      <c r="A95"/>
      <c r="B95"/>
      <c r="C95"/>
      <c r="D95"/>
    </row>
    <row r="96" spans="1:4" x14ac:dyDescent="0.55000000000000004">
      <c r="A96"/>
      <c r="B96"/>
      <c r="C96"/>
      <c r="D96"/>
    </row>
    <row r="97" spans="1:4" x14ac:dyDescent="0.55000000000000004">
      <c r="A97"/>
      <c r="B97"/>
      <c r="C97"/>
      <c r="D97"/>
    </row>
    <row r="98" spans="1:4" x14ac:dyDescent="0.55000000000000004">
      <c r="A98"/>
      <c r="B98"/>
      <c r="C98"/>
      <c r="D98"/>
    </row>
    <row r="99" spans="1:4" x14ac:dyDescent="0.55000000000000004">
      <c r="A99"/>
      <c r="B99"/>
      <c r="C99"/>
      <c r="D99"/>
    </row>
    <row r="100" spans="1:4" x14ac:dyDescent="0.55000000000000004">
      <c r="A100"/>
      <c r="B100"/>
      <c r="C100"/>
      <c r="D100"/>
    </row>
    <row r="101" spans="1:4" x14ac:dyDescent="0.55000000000000004">
      <c r="A101"/>
      <c r="B101"/>
      <c r="C101"/>
      <c r="D101"/>
    </row>
    <row r="102" spans="1:4" x14ac:dyDescent="0.55000000000000004">
      <c r="A102"/>
      <c r="B102"/>
      <c r="C102"/>
      <c r="D102"/>
    </row>
    <row r="103" spans="1:4" x14ac:dyDescent="0.55000000000000004">
      <c r="A103"/>
      <c r="B103"/>
      <c r="C103"/>
      <c r="D103"/>
    </row>
  </sheetData>
  <sortState xmlns:xlrd2="http://schemas.microsoft.com/office/spreadsheetml/2017/richdata2" ref="A2:L103">
    <sortCondition ref="B2:B103"/>
    <sortCondition ref="A2:A103"/>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0"/>
  <dimension ref="A1:D28"/>
  <sheetViews>
    <sheetView workbookViewId="0">
      <selection activeCell="A6" sqref="A6"/>
    </sheetView>
  </sheetViews>
  <sheetFormatPr defaultColWidth="9.1640625" defaultRowHeight="12.3" x14ac:dyDescent="0.4"/>
  <cols>
    <col min="1" max="1" width="39.71875" style="56" customWidth="1"/>
    <col min="2" max="3" width="9.1640625" style="56"/>
    <col min="4" max="4" width="105" style="56" customWidth="1"/>
    <col min="5" max="16384" width="9.1640625" style="56"/>
  </cols>
  <sheetData>
    <row r="1" spans="1:4" x14ac:dyDescent="0.4">
      <c r="A1" s="57" t="s">
        <v>96</v>
      </c>
    </row>
    <row r="2" spans="1:4" x14ac:dyDescent="0.4">
      <c r="A2" s="58" t="s">
        <v>221</v>
      </c>
      <c r="C2" s="59" t="s">
        <v>97</v>
      </c>
      <c r="D2" s="60" t="str">
        <f>'Current Parameters'!A2  &amp; "\" &amp;A2</f>
        <v>C:\Users\brian\OneDrive\Documents\The Report Writer Package 02242020\The Report Writer Package 02242020\Report Writer Template\Additional Docs</v>
      </c>
    </row>
    <row r="4" spans="1:4" x14ac:dyDescent="0.4">
      <c r="A4" s="56" t="s">
        <v>0</v>
      </c>
      <c r="B4" s="55" t="s">
        <v>98</v>
      </c>
    </row>
    <row r="5" spans="1:4" x14ac:dyDescent="0.4">
      <c r="A5" s="62" t="s">
        <v>222</v>
      </c>
      <c r="B5" s="61" t="str">
        <f>"Add this " &amp; 'Current Parameters'!$A$11 &amp; ".docx"</f>
        <v>Add this B.docx</v>
      </c>
    </row>
    <row r="6" spans="1:4" x14ac:dyDescent="0.4">
      <c r="A6" s="62"/>
      <c r="B6" s="61"/>
    </row>
    <row r="7" spans="1:4" x14ac:dyDescent="0.4">
      <c r="A7" s="62"/>
      <c r="B7" s="61"/>
    </row>
    <row r="8" spans="1:4" x14ac:dyDescent="0.4">
      <c r="A8" s="62"/>
      <c r="B8" s="61"/>
    </row>
    <row r="9" spans="1:4" x14ac:dyDescent="0.4">
      <c r="A9" s="62"/>
      <c r="B9" s="61"/>
    </row>
    <row r="10" spans="1:4" x14ac:dyDescent="0.4">
      <c r="A10" s="62"/>
      <c r="B10" s="61"/>
    </row>
    <row r="11" spans="1:4" x14ac:dyDescent="0.4">
      <c r="A11" s="62"/>
      <c r="B11" s="61"/>
    </row>
    <row r="12" spans="1:4" x14ac:dyDescent="0.4">
      <c r="A12" s="61"/>
      <c r="B12" s="61"/>
    </row>
    <row r="13" spans="1:4" x14ac:dyDescent="0.4">
      <c r="A13" s="61"/>
      <c r="B13" s="61"/>
    </row>
    <row r="14" spans="1:4" x14ac:dyDescent="0.4">
      <c r="A14" s="61"/>
      <c r="B14" s="61"/>
    </row>
    <row r="15" spans="1:4" x14ac:dyDescent="0.4">
      <c r="A15" s="61"/>
      <c r="B15" s="61"/>
    </row>
    <row r="16" spans="1:4" x14ac:dyDescent="0.4">
      <c r="A16" s="61"/>
      <c r="B16" s="61"/>
    </row>
    <row r="17" spans="1:2" x14ac:dyDescent="0.4">
      <c r="A17" s="61"/>
      <c r="B17" s="61"/>
    </row>
    <row r="18" spans="1:2" x14ac:dyDescent="0.4">
      <c r="A18" s="61"/>
      <c r="B18" s="61"/>
    </row>
    <row r="19" spans="1:2" x14ac:dyDescent="0.4">
      <c r="A19" s="61"/>
      <c r="B19" s="61"/>
    </row>
    <row r="20" spans="1:2" x14ac:dyDescent="0.4">
      <c r="A20" s="61"/>
      <c r="B20" s="61"/>
    </row>
    <row r="21" spans="1:2" x14ac:dyDescent="0.4">
      <c r="A21" s="61"/>
      <c r="B21" s="61"/>
    </row>
    <row r="22" spans="1:2" x14ac:dyDescent="0.4">
      <c r="A22" s="61"/>
      <c r="B22" s="61"/>
    </row>
    <row r="23" spans="1:2" x14ac:dyDescent="0.4">
      <c r="A23" s="61"/>
      <c r="B23" s="61"/>
    </row>
    <row r="24" spans="1:2" x14ac:dyDescent="0.4">
      <c r="A24" s="61"/>
      <c r="B24" s="61"/>
    </row>
    <row r="25" spans="1:2" x14ac:dyDescent="0.4">
      <c r="A25" s="61"/>
      <c r="B25" s="61"/>
    </row>
    <row r="26" spans="1:2" x14ac:dyDescent="0.4">
      <c r="A26" s="61"/>
      <c r="B26" s="61"/>
    </row>
    <row r="27" spans="1:2" x14ac:dyDescent="0.4">
      <c r="A27" s="61"/>
      <c r="B27" s="61"/>
    </row>
    <row r="28" spans="1:2" x14ac:dyDescent="0.4">
      <c r="A28" s="61"/>
      <c r="B28" s="61"/>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dimension ref="A1:E4"/>
  <sheetViews>
    <sheetView workbookViewId="0">
      <selection activeCell="A4" sqref="A4"/>
    </sheetView>
  </sheetViews>
  <sheetFormatPr defaultColWidth="9.1640625" defaultRowHeight="12.3" x14ac:dyDescent="0.4"/>
  <cols>
    <col min="1" max="16384" width="9.1640625" style="87"/>
  </cols>
  <sheetData>
    <row r="1" spans="1:5" ht="14.1" x14ac:dyDescent="0.5">
      <c r="A1" s="102" t="s">
        <v>45</v>
      </c>
      <c r="B1" s="101"/>
      <c r="C1" s="101"/>
      <c r="D1" s="101"/>
      <c r="E1" s="101"/>
    </row>
    <row r="2" spans="1:5" ht="14.1" x14ac:dyDescent="0.5">
      <c r="A2" s="103">
        <f ca="1">TODAY()</f>
        <v>45341</v>
      </c>
      <c r="B2" s="103">
        <f ca="1">DAY(A2)</f>
        <v>19</v>
      </c>
      <c r="C2" s="103">
        <f ca="1">MONTH(A2)</f>
        <v>2</v>
      </c>
      <c r="D2" s="103">
        <f ca="1">YEAR(A2)</f>
        <v>2024</v>
      </c>
      <c r="E2" s="103" t="str">
        <f ca="1">D2 &amp;C2 &amp;B2</f>
        <v>2024219</v>
      </c>
    </row>
    <row r="4" spans="1:5" x14ac:dyDescent="0.4">
      <c r="A4" s="88" t="s">
        <v>143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B816-B42C-4B76-9BDD-FE20CDA6BB2B}">
  <dimension ref="A1:F13"/>
  <sheetViews>
    <sheetView workbookViewId="0">
      <selection activeCell="M8" sqref="M8"/>
    </sheetView>
  </sheetViews>
  <sheetFormatPr defaultRowHeight="12.3" x14ac:dyDescent="0.4"/>
  <cols>
    <col min="1" max="1" width="14" style="151" customWidth="1"/>
    <col min="2" max="2" width="8.88671875" style="151"/>
    <col min="6" max="6" width="10.5546875" bestFit="1" customWidth="1"/>
  </cols>
  <sheetData>
    <row r="1" spans="1:6" ht="12.6" thickBot="1" x14ac:dyDescent="0.45">
      <c r="A1" s="153" t="s">
        <v>227</v>
      </c>
      <c r="B1" s="153" t="s">
        <v>228</v>
      </c>
    </row>
    <row r="2" spans="1:6" x14ac:dyDescent="0.4">
      <c r="A2" s="152" t="s">
        <v>237</v>
      </c>
      <c r="B2" s="152" t="s">
        <v>230</v>
      </c>
    </row>
    <row r="3" spans="1:6" x14ac:dyDescent="0.4">
      <c r="A3" s="152" t="s">
        <v>238</v>
      </c>
      <c r="B3" s="152" t="s">
        <v>230</v>
      </c>
    </row>
    <row r="4" spans="1:6" x14ac:dyDescent="0.4">
      <c r="A4" s="152" t="s">
        <v>232</v>
      </c>
      <c r="B4" s="152" t="s">
        <v>230</v>
      </c>
    </row>
    <row r="5" spans="1:6" x14ac:dyDescent="0.4">
      <c r="A5" s="152" t="s">
        <v>229</v>
      </c>
      <c r="B5" s="152" t="s">
        <v>230</v>
      </c>
    </row>
    <row r="6" spans="1:6" x14ac:dyDescent="0.4">
      <c r="A6" s="152" t="s">
        <v>233</v>
      </c>
      <c r="B6" s="152" t="s">
        <v>230</v>
      </c>
    </row>
    <row r="7" spans="1:6" x14ac:dyDescent="0.4">
      <c r="A7" s="152" t="s">
        <v>234</v>
      </c>
      <c r="B7" s="152" t="s">
        <v>230</v>
      </c>
    </row>
    <row r="8" spans="1:6" x14ac:dyDescent="0.4">
      <c r="A8" s="152" t="s">
        <v>235</v>
      </c>
      <c r="B8" s="152" t="s">
        <v>230</v>
      </c>
      <c r="F8" s="154"/>
    </row>
    <row r="9" spans="1:6" x14ac:dyDescent="0.4">
      <c r="A9" s="152" t="s">
        <v>236</v>
      </c>
      <c r="B9" s="152" t="s">
        <v>230</v>
      </c>
    </row>
    <row r="10" spans="1:6" x14ac:dyDescent="0.4">
      <c r="A10" s="152" t="s">
        <v>239</v>
      </c>
      <c r="B10" s="152" t="s">
        <v>230</v>
      </c>
    </row>
    <row r="11" spans="1:6" x14ac:dyDescent="0.4">
      <c r="A11" s="152" t="s">
        <v>240</v>
      </c>
      <c r="B11" s="152" t="s">
        <v>230</v>
      </c>
    </row>
    <row r="12" spans="1:6" x14ac:dyDescent="0.4">
      <c r="A12" s="152" t="s">
        <v>241</v>
      </c>
      <c r="B12" s="152" t="s">
        <v>230</v>
      </c>
    </row>
    <row r="13" spans="1:6" x14ac:dyDescent="0.4">
      <c r="A13" s="152" t="s">
        <v>242</v>
      </c>
      <c r="B13" s="152" t="s">
        <v>230</v>
      </c>
    </row>
  </sheetData>
  <pageMargins left="0.7" right="0.7" top="0.75" bottom="0.75" header="0.3" footer="0.3"/>
  <pageSetup orientation="portrait" horizontalDpi="0" verticalDpi="0"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0BF9D-FCCD-4ACC-96AF-5F67E1846EF8}">
  <sheetPr codeName="Sheet16"/>
  <dimension ref="A1:F1"/>
  <sheetViews>
    <sheetView workbookViewId="0">
      <selection activeCell="C2" sqref="C2"/>
    </sheetView>
  </sheetViews>
  <sheetFormatPr defaultRowHeight="12.3" x14ac:dyDescent="0.4"/>
  <sheetData>
    <row r="1" spans="1:6" ht="13.8" x14ac:dyDescent="0.45">
      <c r="A1" s="148" t="s">
        <v>218</v>
      </c>
      <c r="B1" s="148" t="s">
        <v>215</v>
      </c>
      <c r="C1" s="148" t="s">
        <v>220</v>
      </c>
      <c r="D1" s="148" t="s">
        <v>216</v>
      </c>
      <c r="E1" s="148">
        <v>2</v>
      </c>
      <c r="F1" s="148" t="s">
        <v>217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dimension ref="A1:M175"/>
  <sheetViews>
    <sheetView zoomScaleNormal="100" workbookViewId="0">
      <selection activeCell="C2" sqref="C2"/>
    </sheetView>
  </sheetViews>
  <sheetFormatPr defaultColWidth="9.1640625" defaultRowHeight="14.1" x14ac:dyDescent="0.5"/>
  <cols>
    <col min="1" max="1" width="71.38671875" style="6" customWidth="1"/>
    <col min="2" max="2" width="11.27734375" style="6" bestFit="1" customWidth="1"/>
    <col min="3" max="3" width="11.1640625" style="6" bestFit="1" customWidth="1"/>
    <col min="4" max="4" width="14.1640625" style="6" customWidth="1"/>
    <col min="5" max="5" width="10.38671875" style="6" customWidth="1"/>
    <col min="6" max="6" width="15.83203125" style="6" customWidth="1"/>
    <col min="7" max="7" width="13.1640625" style="148" customWidth="1"/>
    <col min="8" max="12" width="9.1640625" style="6"/>
    <col min="13" max="13" width="132" style="148" bestFit="1" customWidth="1"/>
    <col min="14" max="16384" width="9.1640625" style="6"/>
  </cols>
  <sheetData>
    <row r="1" spans="1:6" customFormat="1" ht="13.8" x14ac:dyDescent="0.45">
      <c r="A1" s="148" t="s">
        <v>219</v>
      </c>
      <c r="B1" s="148" t="s">
        <v>215</v>
      </c>
      <c r="C1" s="148" t="s">
        <v>220</v>
      </c>
      <c r="D1" s="148" t="s">
        <v>216</v>
      </c>
      <c r="E1" s="148">
        <v>2</v>
      </c>
      <c r="F1" s="148" t="s">
        <v>217</v>
      </c>
    </row>
    <row r="2" spans="1:6" x14ac:dyDescent="0.5">
      <c r="A2" s="148"/>
      <c r="B2" s="148"/>
      <c r="C2" s="148"/>
      <c r="D2" s="148"/>
      <c r="E2" s="148"/>
      <c r="F2" s="148"/>
    </row>
    <row r="3" spans="1:6" x14ac:dyDescent="0.5">
      <c r="A3" s="148"/>
      <c r="B3" s="148"/>
      <c r="C3" s="148"/>
      <c r="D3" s="148"/>
      <c r="E3" s="148"/>
      <c r="F3" s="148"/>
    </row>
    <row r="4" spans="1:6" x14ac:dyDescent="0.5">
      <c r="A4" s="148"/>
      <c r="B4" s="148"/>
      <c r="C4" s="148"/>
      <c r="D4" s="148"/>
      <c r="E4" s="148"/>
      <c r="F4" s="148"/>
    </row>
    <row r="5" spans="1:6" x14ac:dyDescent="0.5">
      <c r="A5" s="148"/>
      <c r="B5" s="148"/>
      <c r="C5" s="148"/>
      <c r="D5" s="148"/>
      <c r="E5" s="148"/>
      <c r="F5" s="148"/>
    </row>
    <row r="6" spans="1:6" x14ac:dyDescent="0.5">
      <c r="A6" s="148"/>
      <c r="B6" s="148"/>
      <c r="C6" s="148"/>
      <c r="D6" s="148"/>
      <c r="E6" s="148"/>
      <c r="F6" s="148"/>
    </row>
    <row r="7" spans="1:6" x14ac:dyDescent="0.5">
      <c r="A7" s="148"/>
      <c r="B7" s="148"/>
      <c r="C7" s="148"/>
      <c r="D7" s="148"/>
      <c r="E7" s="148"/>
      <c r="F7" s="148"/>
    </row>
    <row r="8" spans="1:6" x14ac:dyDescent="0.5">
      <c r="A8" s="148"/>
      <c r="B8" s="148"/>
      <c r="C8" s="148"/>
      <c r="D8" s="148"/>
      <c r="E8" s="148"/>
      <c r="F8" s="148"/>
    </row>
    <row r="9" spans="1:6" x14ac:dyDescent="0.5">
      <c r="A9" s="148"/>
      <c r="B9" s="148"/>
      <c r="C9" s="148"/>
      <c r="D9" s="148"/>
      <c r="E9" s="148"/>
      <c r="F9" s="148"/>
    </row>
    <row r="10" spans="1:6" x14ac:dyDescent="0.5">
      <c r="A10" s="148"/>
      <c r="B10" s="148"/>
      <c r="C10" s="148"/>
      <c r="D10" s="148"/>
      <c r="E10" s="148"/>
      <c r="F10" s="148"/>
    </row>
    <row r="11" spans="1:6" x14ac:dyDescent="0.5">
      <c r="A11" s="148"/>
      <c r="B11" s="148"/>
      <c r="C11" s="148"/>
      <c r="D11" s="148"/>
      <c r="E11" s="148"/>
      <c r="F11" s="148"/>
    </row>
    <row r="12" spans="1:6" x14ac:dyDescent="0.5">
      <c r="A12" s="148"/>
      <c r="B12" s="148"/>
      <c r="C12" s="148"/>
      <c r="D12" s="148"/>
      <c r="E12" s="148"/>
      <c r="F12" s="148"/>
    </row>
    <row r="13" spans="1:6" x14ac:dyDescent="0.5">
      <c r="A13" s="148"/>
      <c r="B13" s="148"/>
      <c r="C13" s="148"/>
      <c r="D13" s="148"/>
      <c r="E13" s="148"/>
      <c r="F13" s="148"/>
    </row>
    <row r="14" spans="1:6" x14ac:dyDescent="0.5">
      <c r="A14" s="148"/>
      <c r="B14" s="148"/>
      <c r="C14" s="148"/>
      <c r="D14" s="148"/>
      <c r="E14" s="148"/>
      <c r="F14" s="148"/>
    </row>
    <row r="15" spans="1:6" x14ac:dyDescent="0.5">
      <c r="A15" s="148"/>
      <c r="B15" s="148"/>
      <c r="C15" s="148"/>
      <c r="D15" s="148"/>
      <c r="E15" s="148"/>
      <c r="F15" s="148"/>
    </row>
    <row r="16" spans="1:6" x14ac:dyDescent="0.5">
      <c r="A16" s="148"/>
      <c r="B16" s="148"/>
      <c r="C16" s="148"/>
      <c r="D16" s="148"/>
      <c r="E16" s="148"/>
      <c r="F16" s="148"/>
    </row>
    <row r="17" spans="1:6" x14ac:dyDescent="0.5">
      <c r="A17" s="148"/>
      <c r="B17" s="148"/>
      <c r="C17" s="148"/>
      <c r="D17" s="148"/>
      <c r="E17" s="148"/>
      <c r="F17" s="148"/>
    </row>
    <row r="18" spans="1:6" x14ac:dyDescent="0.5">
      <c r="A18" s="148"/>
      <c r="B18" s="148"/>
      <c r="C18" s="148"/>
      <c r="D18" s="148"/>
      <c r="E18" s="148"/>
      <c r="F18" s="148"/>
    </row>
    <row r="19" spans="1:6" x14ac:dyDescent="0.5">
      <c r="A19" s="148"/>
      <c r="B19" s="148"/>
      <c r="C19" s="148"/>
      <c r="D19" s="148"/>
      <c r="E19" s="148"/>
      <c r="F19" s="148"/>
    </row>
    <row r="20" spans="1:6" x14ac:dyDescent="0.5">
      <c r="A20" s="148"/>
      <c r="B20" s="148"/>
      <c r="C20" s="148"/>
      <c r="D20" s="148"/>
      <c r="E20" s="148"/>
      <c r="F20" s="148"/>
    </row>
    <row r="21" spans="1:6" x14ac:dyDescent="0.5">
      <c r="A21" s="148"/>
      <c r="B21" s="148"/>
      <c r="C21" s="148"/>
      <c r="D21" s="148"/>
      <c r="E21" s="148"/>
      <c r="F21" s="148"/>
    </row>
    <row r="22" spans="1:6" x14ac:dyDescent="0.5">
      <c r="A22" s="148"/>
      <c r="B22" s="148"/>
      <c r="C22" s="148"/>
      <c r="D22" s="148"/>
      <c r="E22" s="148"/>
      <c r="F22" s="148"/>
    </row>
    <row r="23" spans="1:6" x14ac:dyDescent="0.5">
      <c r="A23" s="148"/>
      <c r="B23" s="148"/>
      <c r="C23" s="148"/>
      <c r="D23" s="148"/>
      <c r="E23" s="148"/>
      <c r="F23" s="148"/>
    </row>
    <row r="24" spans="1:6" x14ac:dyDescent="0.5">
      <c r="A24" s="148"/>
      <c r="B24" s="148"/>
      <c r="C24" s="148"/>
      <c r="D24" s="148"/>
      <c r="E24" s="148"/>
      <c r="F24" s="148"/>
    </row>
    <row r="25" spans="1:6" x14ac:dyDescent="0.5">
      <c r="A25" s="148"/>
      <c r="B25" s="148"/>
      <c r="C25" s="148"/>
      <c r="D25" s="148"/>
      <c r="E25" s="148"/>
      <c r="F25" s="148"/>
    </row>
    <row r="26" spans="1:6" x14ac:dyDescent="0.5">
      <c r="A26" s="148"/>
      <c r="B26" s="148"/>
      <c r="C26" s="148"/>
      <c r="D26" s="148"/>
      <c r="E26" s="148"/>
      <c r="F26" s="148"/>
    </row>
    <row r="27" spans="1:6" x14ac:dyDescent="0.5">
      <c r="A27" s="148"/>
      <c r="B27" s="148"/>
      <c r="C27" s="148"/>
      <c r="D27" s="148"/>
      <c r="E27" s="148"/>
      <c r="F27" s="148"/>
    </row>
    <row r="28" spans="1:6" x14ac:dyDescent="0.5">
      <c r="A28" s="148"/>
      <c r="B28" s="148"/>
      <c r="C28" s="148"/>
      <c r="D28" s="148"/>
      <c r="E28" s="148"/>
      <c r="F28" s="148"/>
    </row>
    <row r="29" spans="1:6" x14ac:dyDescent="0.5">
      <c r="A29" s="148"/>
      <c r="B29" s="148"/>
      <c r="C29" s="148"/>
      <c r="D29" s="148"/>
      <c r="E29" s="148"/>
      <c r="F29" s="148"/>
    </row>
    <row r="30" spans="1:6" x14ac:dyDescent="0.5">
      <c r="A30" s="148"/>
      <c r="B30" s="148"/>
      <c r="C30" s="148"/>
      <c r="D30" s="148"/>
      <c r="E30" s="148"/>
      <c r="F30" s="148"/>
    </row>
    <row r="31" spans="1:6" x14ac:dyDescent="0.5">
      <c r="A31" s="148"/>
      <c r="B31" s="148"/>
      <c r="C31" s="148"/>
      <c r="D31" s="148"/>
      <c r="E31" s="148"/>
      <c r="F31" s="148"/>
    </row>
    <row r="32" spans="1:6" x14ac:dyDescent="0.5">
      <c r="A32" s="148"/>
      <c r="B32" s="148"/>
      <c r="C32" s="148"/>
      <c r="D32" s="148"/>
      <c r="E32" s="148"/>
      <c r="F32" s="148"/>
    </row>
    <row r="33" spans="1:6" x14ac:dyDescent="0.5">
      <c r="A33" s="148"/>
      <c r="B33" s="148"/>
      <c r="C33" s="148"/>
      <c r="D33" s="148"/>
      <c r="E33" s="148"/>
      <c r="F33" s="148"/>
    </row>
    <row r="34" spans="1:6" x14ac:dyDescent="0.5">
      <c r="A34" s="148"/>
      <c r="B34" s="148"/>
      <c r="C34" s="148"/>
      <c r="D34" s="148"/>
      <c r="E34" s="148"/>
      <c r="F34" s="148"/>
    </row>
    <row r="35" spans="1:6" x14ac:dyDescent="0.5">
      <c r="A35" s="148"/>
      <c r="B35" s="148"/>
      <c r="C35" s="148"/>
      <c r="D35" s="148"/>
      <c r="E35" s="148"/>
      <c r="F35" s="148"/>
    </row>
    <row r="36" spans="1:6" x14ac:dyDescent="0.5">
      <c r="A36" s="148"/>
      <c r="B36" s="148"/>
      <c r="C36" s="148"/>
      <c r="D36" s="148"/>
      <c r="E36" s="148"/>
      <c r="F36" s="148"/>
    </row>
    <row r="37" spans="1:6" x14ac:dyDescent="0.5">
      <c r="A37" s="148"/>
      <c r="B37" s="148"/>
      <c r="C37" s="148"/>
      <c r="D37" s="148"/>
      <c r="E37" s="148"/>
      <c r="F37" s="148"/>
    </row>
    <row r="38" spans="1:6" x14ac:dyDescent="0.5">
      <c r="A38" s="148"/>
      <c r="B38" s="148"/>
      <c r="C38" s="148"/>
      <c r="D38" s="148"/>
      <c r="E38" s="148"/>
      <c r="F38" s="148"/>
    </row>
    <row r="39" spans="1:6" x14ac:dyDescent="0.5">
      <c r="A39" s="148"/>
      <c r="B39" s="148"/>
      <c r="C39" s="148"/>
      <c r="D39" s="148"/>
      <c r="E39" s="148"/>
      <c r="F39" s="148"/>
    </row>
    <row r="40" spans="1:6" x14ac:dyDescent="0.5">
      <c r="A40" s="148"/>
      <c r="B40" s="148"/>
      <c r="C40" s="148"/>
      <c r="D40" s="148"/>
      <c r="E40" s="148"/>
      <c r="F40" s="148"/>
    </row>
    <row r="41" spans="1:6" x14ac:dyDescent="0.5">
      <c r="A41" s="148"/>
      <c r="B41" s="148"/>
      <c r="C41" s="148"/>
      <c r="D41" s="148"/>
      <c r="E41" s="148"/>
      <c r="F41" s="148"/>
    </row>
    <row r="42" spans="1:6" x14ac:dyDescent="0.5">
      <c r="A42" s="148"/>
      <c r="B42" s="148"/>
      <c r="C42" s="148"/>
      <c r="D42" s="148"/>
      <c r="E42" s="148"/>
      <c r="F42" s="148"/>
    </row>
    <row r="43" spans="1:6" x14ac:dyDescent="0.5">
      <c r="A43" s="148"/>
      <c r="B43" s="148"/>
      <c r="C43" s="148"/>
      <c r="D43" s="148"/>
      <c r="E43" s="148"/>
      <c r="F43" s="148"/>
    </row>
    <row r="44" spans="1:6" x14ac:dyDescent="0.5">
      <c r="A44" s="148"/>
      <c r="B44" s="148"/>
      <c r="C44" s="148"/>
      <c r="D44" s="148"/>
      <c r="E44" s="148"/>
      <c r="F44" s="148"/>
    </row>
    <row r="45" spans="1:6" x14ac:dyDescent="0.5">
      <c r="A45" s="148"/>
      <c r="B45" s="148"/>
      <c r="C45" s="148"/>
      <c r="D45" s="148"/>
      <c r="E45" s="148"/>
      <c r="F45" s="148"/>
    </row>
    <row r="46" spans="1:6" x14ac:dyDescent="0.5">
      <c r="A46" s="148"/>
      <c r="B46" s="148"/>
      <c r="C46" s="148"/>
      <c r="D46" s="148"/>
      <c r="E46" s="148"/>
      <c r="F46" s="148"/>
    </row>
    <row r="47" spans="1:6" x14ac:dyDescent="0.5">
      <c r="A47" s="148"/>
      <c r="B47" s="148"/>
      <c r="C47" s="148"/>
      <c r="D47" s="148"/>
      <c r="E47" s="148"/>
      <c r="F47" s="148"/>
    </row>
    <row r="48" spans="1:6" x14ac:dyDescent="0.5">
      <c r="A48" s="148"/>
      <c r="B48" s="148"/>
      <c r="C48" s="148"/>
      <c r="D48" s="148"/>
      <c r="E48" s="148"/>
      <c r="F48" s="148"/>
    </row>
    <row r="49" spans="1:6" x14ac:dyDescent="0.5">
      <c r="A49" s="148"/>
      <c r="B49" s="148"/>
      <c r="C49" s="148"/>
      <c r="D49" s="148"/>
      <c r="E49" s="148"/>
      <c r="F49" s="148"/>
    </row>
    <row r="50" spans="1:6" x14ac:dyDescent="0.5">
      <c r="A50" s="148"/>
      <c r="B50" s="148"/>
      <c r="C50" s="148"/>
      <c r="D50" s="148"/>
      <c r="E50" s="148"/>
      <c r="F50" s="148"/>
    </row>
    <row r="51" spans="1:6" x14ac:dyDescent="0.5">
      <c r="A51" s="148"/>
      <c r="B51" s="148"/>
      <c r="C51" s="148"/>
      <c r="D51" s="148"/>
      <c r="E51" s="148"/>
      <c r="F51" s="148"/>
    </row>
    <row r="52" spans="1:6" x14ac:dyDescent="0.5">
      <c r="A52" s="148"/>
      <c r="B52" s="148"/>
      <c r="C52" s="148"/>
      <c r="D52" s="148"/>
      <c r="E52" s="148"/>
      <c r="F52" s="148"/>
    </row>
    <row r="53" spans="1:6" x14ac:dyDescent="0.5">
      <c r="A53" s="148"/>
      <c r="B53" s="148"/>
      <c r="C53" s="148"/>
      <c r="D53" s="148"/>
      <c r="E53" s="148"/>
      <c r="F53" s="148"/>
    </row>
    <row r="54" spans="1:6" x14ac:dyDescent="0.5">
      <c r="A54" s="148"/>
      <c r="B54" s="148"/>
      <c r="C54" s="148"/>
      <c r="D54" s="148"/>
      <c r="E54" s="148"/>
      <c r="F54" s="148"/>
    </row>
    <row r="55" spans="1:6" x14ac:dyDescent="0.5">
      <c r="A55" s="148"/>
      <c r="B55" s="148"/>
      <c r="C55" s="148"/>
      <c r="D55" s="148"/>
      <c r="E55" s="148"/>
      <c r="F55" s="148"/>
    </row>
    <row r="56" spans="1:6" x14ac:dyDescent="0.5">
      <c r="A56" s="148"/>
      <c r="B56" s="148"/>
      <c r="C56" s="148"/>
      <c r="D56" s="148"/>
      <c r="E56" s="148"/>
      <c r="F56" s="148"/>
    </row>
    <row r="57" spans="1:6" x14ac:dyDescent="0.5">
      <c r="A57" s="148"/>
      <c r="B57" s="148"/>
      <c r="C57" s="148"/>
      <c r="D57" s="148"/>
      <c r="E57" s="148"/>
      <c r="F57" s="148"/>
    </row>
    <row r="58" spans="1:6" x14ac:dyDescent="0.5">
      <c r="A58" s="148"/>
      <c r="B58" s="148"/>
      <c r="C58" s="148"/>
      <c r="D58" s="148"/>
      <c r="E58" s="148"/>
      <c r="F58" s="148"/>
    </row>
    <row r="59" spans="1:6" x14ac:dyDescent="0.5">
      <c r="A59" s="148"/>
      <c r="B59" s="148"/>
      <c r="C59" s="148"/>
      <c r="D59" s="148"/>
      <c r="E59" s="148"/>
      <c r="F59" s="148"/>
    </row>
    <row r="60" spans="1:6" x14ac:dyDescent="0.5">
      <c r="A60" s="148"/>
      <c r="B60" s="148"/>
      <c r="C60" s="148"/>
      <c r="D60" s="148"/>
      <c r="E60" s="148"/>
      <c r="F60" s="148"/>
    </row>
    <row r="61" spans="1:6" x14ac:dyDescent="0.5">
      <c r="A61" s="148"/>
      <c r="B61" s="148"/>
      <c r="C61" s="148"/>
      <c r="D61" s="148"/>
      <c r="E61" s="148"/>
      <c r="F61" s="148"/>
    </row>
    <row r="62" spans="1:6" x14ac:dyDescent="0.5">
      <c r="A62" s="148"/>
      <c r="B62" s="148"/>
      <c r="C62" s="148"/>
      <c r="D62" s="148"/>
      <c r="E62" s="148"/>
      <c r="F62" s="148"/>
    </row>
    <row r="63" spans="1:6" x14ac:dyDescent="0.5">
      <c r="A63" s="148"/>
      <c r="B63" s="148"/>
      <c r="C63" s="148"/>
      <c r="D63" s="148"/>
      <c r="E63" s="148"/>
      <c r="F63" s="148"/>
    </row>
    <row r="64" spans="1:6" x14ac:dyDescent="0.5">
      <c r="A64" s="148"/>
      <c r="B64" s="148"/>
      <c r="C64" s="148"/>
      <c r="D64" s="148"/>
      <c r="E64" s="148"/>
      <c r="F64" s="148"/>
    </row>
    <row r="65" spans="1:6" x14ac:dyDescent="0.5">
      <c r="A65" s="148"/>
      <c r="B65" s="148"/>
      <c r="C65" s="148"/>
      <c r="D65" s="148"/>
      <c r="E65" s="148"/>
      <c r="F65" s="148"/>
    </row>
    <row r="66" spans="1:6" x14ac:dyDescent="0.5">
      <c r="A66" s="148"/>
      <c r="B66" s="148"/>
      <c r="C66" s="148"/>
      <c r="D66" s="148"/>
      <c r="E66" s="148"/>
      <c r="F66" s="148"/>
    </row>
    <row r="67" spans="1:6" x14ac:dyDescent="0.5">
      <c r="A67" s="148"/>
      <c r="B67" s="148"/>
      <c r="C67" s="148"/>
      <c r="D67" s="148"/>
      <c r="E67" s="148"/>
      <c r="F67" s="148"/>
    </row>
    <row r="68" spans="1:6" x14ac:dyDescent="0.5">
      <c r="A68" s="148"/>
      <c r="B68" s="148"/>
      <c r="C68" s="148"/>
      <c r="D68" s="148"/>
      <c r="E68" s="148"/>
      <c r="F68" s="148"/>
    </row>
    <row r="69" spans="1:6" x14ac:dyDescent="0.5">
      <c r="A69" s="148"/>
      <c r="B69" s="148"/>
      <c r="C69" s="148"/>
      <c r="D69" s="148"/>
      <c r="E69" s="148"/>
      <c r="F69" s="148"/>
    </row>
    <row r="70" spans="1:6" x14ac:dyDescent="0.5">
      <c r="A70" s="148"/>
      <c r="B70" s="148"/>
      <c r="C70" s="148"/>
      <c r="D70" s="148"/>
      <c r="E70" s="148"/>
      <c r="F70" s="148"/>
    </row>
    <row r="71" spans="1:6" x14ac:dyDescent="0.5">
      <c r="A71" s="148"/>
      <c r="B71" s="148"/>
      <c r="C71" s="148"/>
      <c r="D71" s="148"/>
      <c r="E71" s="148"/>
      <c r="F71" s="148"/>
    </row>
    <row r="72" spans="1:6" x14ac:dyDescent="0.5">
      <c r="A72" s="148"/>
      <c r="B72" s="148"/>
      <c r="C72" s="148"/>
      <c r="D72" s="148"/>
      <c r="E72" s="148"/>
      <c r="F72" s="148"/>
    </row>
    <row r="73" spans="1:6" x14ac:dyDescent="0.5">
      <c r="A73" s="148"/>
      <c r="B73" s="148"/>
      <c r="C73" s="148"/>
      <c r="D73" s="148"/>
      <c r="E73" s="148"/>
      <c r="F73" s="148"/>
    </row>
    <row r="74" spans="1:6" x14ac:dyDescent="0.5">
      <c r="A74" s="148"/>
      <c r="B74" s="148"/>
      <c r="C74" s="148"/>
      <c r="D74" s="148"/>
      <c r="E74" s="148"/>
      <c r="F74" s="148"/>
    </row>
    <row r="75" spans="1:6" x14ac:dyDescent="0.5">
      <c r="A75" s="148"/>
      <c r="B75" s="148"/>
      <c r="C75" s="148"/>
      <c r="D75" s="148"/>
      <c r="E75" s="148"/>
      <c r="F75" s="148"/>
    </row>
    <row r="76" spans="1:6" x14ac:dyDescent="0.5">
      <c r="A76" s="148"/>
      <c r="B76" s="148"/>
      <c r="C76" s="148"/>
      <c r="D76" s="148"/>
      <c r="E76" s="148"/>
      <c r="F76" s="148"/>
    </row>
    <row r="77" spans="1:6" x14ac:dyDescent="0.5">
      <c r="A77" s="148"/>
      <c r="B77" s="148"/>
      <c r="C77" s="148"/>
      <c r="D77" s="148"/>
      <c r="E77" s="148"/>
      <c r="F77" s="148"/>
    </row>
    <row r="78" spans="1:6" x14ac:dyDescent="0.5">
      <c r="A78" s="148"/>
      <c r="B78" s="148"/>
      <c r="C78" s="148"/>
      <c r="D78" s="148"/>
      <c r="E78" s="148"/>
      <c r="F78" s="148"/>
    </row>
    <row r="79" spans="1:6" x14ac:dyDescent="0.5">
      <c r="A79" s="148"/>
      <c r="B79" s="148"/>
      <c r="C79" s="148"/>
      <c r="D79" s="148"/>
      <c r="E79" s="148"/>
      <c r="F79" s="148"/>
    </row>
    <row r="80" spans="1:6" x14ac:dyDescent="0.5">
      <c r="A80" s="148"/>
      <c r="B80" s="148"/>
      <c r="C80" s="148"/>
      <c r="D80" s="148"/>
      <c r="E80" s="148"/>
      <c r="F80" s="148"/>
    </row>
    <row r="81" spans="1:6" x14ac:dyDescent="0.5">
      <c r="A81" s="148"/>
      <c r="B81" s="148"/>
      <c r="C81" s="148"/>
      <c r="D81" s="148"/>
      <c r="E81" s="148"/>
      <c r="F81" s="148"/>
    </row>
    <row r="82" spans="1:6" x14ac:dyDescent="0.5">
      <c r="A82" s="148"/>
      <c r="B82" s="148"/>
      <c r="C82" s="148"/>
      <c r="D82" s="148"/>
      <c r="E82" s="148"/>
      <c r="F82" s="148"/>
    </row>
    <row r="83" spans="1:6" x14ac:dyDescent="0.5">
      <c r="A83" s="148"/>
      <c r="B83" s="148"/>
      <c r="C83" s="148"/>
      <c r="D83" s="148"/>
      <c r="E83" s="148"/>
      <c r="F83" s="148"/>
    </row>
    <row r="84" spans="1:6" x14ac:dyDescent="0.5">
      <c r="A84" s="148"/>
      <c r="B84" s="148"/>
      <c r="C84" s="148"/>
      <c r="D84" s="148"/>
      <c r="E84" s="148"/>
      <c r="F84" s="148"/>
    </row>
    <row r="85" spans="1:6" x14ac:dyDescent="0.5">
      <c r="A85" s="148"/>
      <c r="B85" s="148"/>
      <c r="C85" s="148"/>
      <c r="D85" s="148"/>
      <c r="E85" s="148"/>
      <c r="F85" s="148"/>
    </row>
    <row r="86" spans="1:6" x14ac:dyDescent="0.5">
      <c r="A86" s="148"/>
      <c r="B86" s="148"/>
      <c r="C86" s="148"/>
      <c r="D86" s="148"/>
      <c r="E86" s="148"/>
      <c r="F86" s="148"/>
    </row>
    <row r="87" spans="1:6" x14ac:dyDescent="0.5">
      <c r="A87" s="148"/>
      <c r="B87" s="148"/>
      <c r="C87" s="148"/>
      <c r="D87" s="148"/>
      <c r="E87" s="148"/>
      <c r="F87" s="148"/>
    </row>
    <row r="88" spans="1:6" x14ac:dyDescent="0.5">
      <c r="A88" s="148"/>
      <c r="B88" s="148"/>
      <c r="C88" s="148"/>
      <c r="D88" s="148"/>
      <c r="E88" s="148"/>
      <c r="F88" s="148"/>
    </row>
    <row r="89" spans="1:6" x14ac:dyDescent="0.5">
      <c r="A89" s="148"/>
      <c r="B89" s="148"/>
      <c r="C89" s="148"/>
      <c r="D89" s="148"/>
      <c r="E89" s="148"/>
      <c r="F89" s="148"/>
    </row>
    <row r="90" spans="1:6" x14ac:dyDescent="0.5">
      <c r="A90" s="148"/>
      <c r="B90" s="148"/>
      <c r="C90" s="148"/>
      <c r="D90" s="148"/>
      <c r="E90" s="148"/>
      <c r="F90" s="148"/>
    </row>
    <row r="91" spans="1:6" x14ac:dyDescent="0.5">
      <c r="A91" s="148"/>
      <c r="B91" s="148"/>
      <c r="C91" s="148"/>
      <c r="D91" s="148"/>
      <c r="E91" s="148"/>
      <c r="F91" s="148"/>
    </row>
    <row r="92" spans="1:6" x14ac:dyDescent="0.5">
      <c r="A92" s="148"/>
      <c r="B92" s="148"/>
      <c r="C92" s="148"/>
      <c r="D92" s="148"/>
      <c r="E92" s="148"/>
      <c r="F92" s="148"/>
    </row>
    <row r="93" spans="1:6" x14ac:dyDescent="0.5">
      <c r="A93" s="148"/>
      <c r="B93" s="148"/>
      <c r="C93" s="148"/>
      <c r="D93" s="148"/>
      <c r="E93" s="148"/>
      <c r="F93" s="148"/>
    </row>
    <row r="94" spans="1:6" x14ac:dyDescent="0.5">
      <c r="A94" s="148"/>
      <c r="B94" s="148"/>
      <c r="C94" s="148"/>
      <c r="D94" s="148"/>
      <c r="E94" s="148"/>
      <c r="F94" s="148"/>
    </row>
    <row r="95" spans="1:6" x14ac:dyDescent="0.5">
      <c r="A95" s="148"/>
      <c r="B95" s="148"/>
      <c r="C95" s="148"/>
      <c r="D95" s="148"/>
      <c r="E95" s="148"/>
      <c r="F95" s="148"/>
    </row>
    <row r="96" spans="1:6" x14ac:dyDescent="0.5">
      <c r="A96" s="148"/>
      <c r="B96" s="148"/>
      <c r="C96" s="148"/>
      <c r="D96" s="148"/>
      <c r="E96" s="148"/>
      <c r="F96" s="148"/>
    </row>
    <row r="97" spans="1:6" x14ac:dyDescent="0.5">
      <c r="A97" s="148"/>
      <c r="B97" s="148"/>
      <c r="C97" s="148"/>
      <c r="D97" s="148"/>
      <c r="E97" s="148"/>
      <c r="F97" s="148"/>
    </row>
    <row r="98" spans="1:6" x14ac:dyDescent="0.5">
      <c r="A98" s="148"/>
      <c r="B98" s="148"/>
      <c r="C98" s="148"/>
      <c r="D98" s="148"/>
      <c r="E98" s="148"/>
      <c r="F98" s="148"/>
    </row>
    <row r="99" spans="1:6" x14ac:dyDescent="0.5">
      <c r="A99" s="148"/>
      <c r="B99" s="148"/>
      <c r="C99" s="148"/>
      <c r="D99" s="148"/>
      <c r="E99" s="148"/>
      <c r="F99" s="148"/>
    </row>
    <row r="100" spans="1:6" x14ac:dyDescent="0.5">
      <c r="A100" s="148"/>
      <c r="B100" s="148"/>
      <c r="C100" s="148"/>
      <c r="D100" s="148"/>
      <c r="E100" s="148"/>
      <c r="F100" s="148"/>
    </row>
    <row r="101" spans="1:6" x14ac:dyDescent="0.5">
      <c r="A101" s="148"/>
      <c r="B101" s="148"/>
      <c r="C101" s="148"/>
      <c r="D101" s="148"/>
      <c r="E101" s="148"/>
      <c r="F101" s="148"/>
    </row>
    <row r="102" spans="1:6" x14ac:dyDescent="0.5">
      <c r="A102" s="148"/>
      <c r="B102" s="148"/>
      <c r="C102" s="148"/>
      <c r="D102" s="148"/>
      <c r="E102" s="148"/>
      <c r="F102" s="148"/>
    </row>
    <row r="103" spans="1:6" x14ac:dyDescent="0.5">
      <c r="A103" s="148"/>
      <c r="B103" s="148"/>
      <c r="C103" s="148"/>
      <c r="D103" s="148"/>
      <c r="E103" s="148"/>
      <c r="F103" s="148"/>
    </row>
    <row r="104" spans="1:6" x14ac:dyDescent="0.5">
      <c r="A104" s="148"/>
      <c r="B104" s="148"/>
      <c r="C104" s="148"/>
      <c r="D104" s="148"/>
      <c r="E104" s="148"/>
      <c r="F104" s="148"/>
    </row>
    <row r="105" spans="1:6" x14ac:dyDescent="0.5">
      <c r="A105" s="148"/>
      <c r="B105" s="148"/>
      <c r="C105" s="148"/>
      <c r="D105" s="148"/>
      <c r="E105" s="148"/>
      <c r="F105" s="148"/>
    </row>
    <row r="106" spans="1:6" x14ac:dyDescent="0.5">
      <c r="A106" s="148"/>
      <c r="B106" s="148"/>
      <c r="C106" s="148"/>
      <c r="D106" s="148"/>
      <c r="E106" s="148"/>
      <c r="F106" s="148"/>
    </row>
    <row r="107" spans="1:6" x14ac:dyDescent="0.5">
      <c r="A107" s="148"/>
      <c r="B107" s="148"/>
      <c r="C107" s="148"/>
      <c r="D107" s="148"/>
      <c r="E107" s="148"/>
      <c r="F107" s="148"/>
    </row>
    <row r="108" spans="1:6" x14ac:dyDescent="0.5">
      <c r="A108" s="148"/>
      <c r="B108" s="148"/>
      <c r="C108" s="148"/>
      <c r="D108" s="148"/>
      <c r="E108" s="148"/>
      <c r="F108" s="148"/>
    </row>
    <row r="109" spans="1:6" x14ac:dyDescent="0.5">
      <c r="A109" s="148"/>
      <c r="B109" s="148"/>
      <c r="C109" s="148"/>
      <c r="D109" s="148"/>
      <c r="E109" s="148"/>
      <c r="F109" s="148"/>
    </row>
    <row r="110" spans="1:6" x14ac:dyDescent="0.5">
      <c r="A110" s="148"/>
      <c r="B110" s="148"/>
      <c r="C110" s="148"/>
      <c r="D110" s="148"/>
      <c r="E110" s="148"/>
      <c r="F110" s="148"/>
    </row>
    <row r="111" spans="1:6" x14ac:dyDescent="0.5">
      <c r="A111" s="148"/>
      <c r="B111" s="148"/>
      <c r="C111" s="148"/>
      <c r="D111" s="148"/>
      <c r="E111" s="148"/>
      <c r="F111" s="148"/>
    </row>
    <row r="112" spans="1:6" x14ac:dyDescent="0.5">
      <c r="A112" s="148"/>
      <c r="B112" s="148"/>
      <c r="C112" s="148"/>
      <c r="D112" s="148"/>
      <c r="E112" s="148"/>
      <c r="F112" s="148"/>
    </row>
    <row r="113" spans="1:6" x14ac:dyDescent="0.5">
      <c r="A113" s="148"/>
      <c r="B113" s="148"/>
      <c r="C113" s="148"/>
      <c r="D113" s="148"/>
      <c r="E113" s="148"/>
      <c r="F113" s="148"/>
    </row>
    <row r="114" spans="1:6" x14ac:dyDescent="0.5">
      <c r="A114" s="148"/>
      <c r="B114" s="148"/>
      <c r="C114" s="148"/>
      <c r="D114" s="148"/>
      <c r="E114" s="148"/>
      <c r="F114" s="148"/>
    </row>
    <row r="115" spans="1:6" x14ac:dyDescent="0.5">
      <c r="A115" s="148"/>
      <c r="B115" s="148"/>
      <c r="C115" s="148"/>
      <c r="D115" s="148"/>
      <c r="E115" s="148"/>
      <c r="F115" s="148"/>
    </row>
    <row r="116" spans="1:6" x14ac:dyDescent="0.5">
      <c r="A116" s="148"/>
      <c r="B116" s="148"/>
      <c r="C116" s="148"/>
      <c r="D116" s="148"/>
      <c r="E116" s="148"/>
      <c r="F116" s="148"/>
    </row>
    <row r="117" spans="1:6" x14ac:dyDescent="0.5">
      <c r="A117" s="148"/>
      <c r="B117" s="148"/>
      <c r="C117" s="148"/>
      <c r="D117" s="148"/>
      <c r="E117" s="148"/>
      <c r="F117" s="148"/>
    </row>
    <row r="118" spans="1:6" x14ac:dyDescent="0.5">
      <c r="A118" s="148"/>
      <c r="B118" s="148"/>
      <c r="C118" s="148"/>
      <c r="D118" s="148"/>
      <c r="E118" s="148"/>
      <c r="F118" s="148"/>
    </row>
    <row r="119" spans="1:6" x14ac:dyDescent="0.5">
      <c r="A119" s="148"/>
      <c r="B119" s="148"/>
      <c r="C119" s="148"/>
      <c r="D119" s="148"/>
      <c r="E119" s="148"/>
      <c r="F119" s="148"/>
    </row>
    <row r="120" spans="1:6" x14ac:dyDescent="0.5">
      <c r="A120" s="148"/>
      <c r="B120" s="148"/>
      <c r="C120" s="148"/>
      <c r="D120" s="148"/>
      <c r="E120" s="148"/>
      <c r="F120" s="148"/>
    </row>
    <row r="121" spans="1:6" x14ac:dyDescent="0.5">
      <c r="A121" s="148"/>
      <c r="B121" s="148"/>
      <c r="C121" s="148"/>
      <c r="D121" s="148"/>
      <c r="E121" s="148"/>
      <c r="F121" s="148"/>
    </row>
    <row r="122" spans="1:6" x14ac:dyDescent="0.5">
      <c r="A122" s="148"/>
      <c r="B122" s="148"/>
      <c r="C122" s="148"/>
      <c r="D122" s="148"/>
      <c r="E122" s="148"/>
      <c r="F122" s="148"/>
    </row>
    <row r="123" spans="1:6" x14ac:dyDescent="0.5">
      <c r="A123" s="148"/>
      <c r="B123" s="148"/>
      <c r="C123" s="148"/>
      <c r="D123" s="148"/>
      <c r="E123" s="148"/>
      <c r="F123" s="148"/>
    </row>
    <row r="124" spans="1:6" x14ac:dyDescent="0.5">
      <c r="A124" s="148"/>
      <c r="B124" s="148"/>
      <c r="C124" s="148"/>
      <c r="D124" s="148"/>
      <c r="E124" s="148"/>
      <c r="F124" s="148"/>
    </row>
    <row r="125" spans="1:6" x14ac:dyDescent="0.5">
      <c r="A125" s="148"/>
      <c r="B125" s="148"/>
      <c r="C125" s="148"/>
      <c r="D125" s="148"/>
      <c r="E125" s="148"/>
      <c r="F125" s="148"/>
    </row>
    <row r="126" spans="1:6" x14ac:dyDescent="0.5">
      <c r="A126" s="148"/>
      <c r="B126" s="148"/>
      <c r="C126" s="148"/>
      <c r="D126" s="148"/>
      <c r="E126" s="148"/>
      <c r="F126" s="148"/>
    </row>
    <row r="127" spans="1:6" x14ac:dyDescent="0.5">
      <c r="A127" s="148"/>
      <c r="B127" s="148"/>
      <c r="C127" s="148"/>
      <c r="D127" s="148"/>
      <c r="E127" s="148"/>
      <c r="F127" s="148"/>
    </row>
    <row r="128" spans="1:6" x14ac:dyDescent="0.5">
      <c r="A128" s="148"/>
      <c r="B128" s="148"/>
      <c r="C128" s="148"/>
      <c r="D128" s="148"/>
      <c r="E128" s="148"/>
      <c r="F128" s="148"/>
    </row>
    <row r="129" spans="1:6" x14ac:dyDescent="0.5">
      <c r="A129" s="148"/>
      <c r="B129" s="148"/>
      <c r="C129" s="148"/>
      <c r="D129" s="148"/>
      <c r="E129" s="148"/>
      <c r="F129" s="148"/>
    </row>
    <row r="130" spans="1:6" x14ac:dyDescent="0.5">
      <c r="A130" s="148"/>
      <c r="B130" s="148"/>
      <c r="C130" s="148"/>
      <c r="D130" s="148"/>
      <c r="E130" s="148"/>
      <c r="F130" s="148"/>
    </row>
    <row r="131" spans="1:6" x14ac:dyDescent="0.5">
      <c r="A131" s="148"/>
      <c r="B131" s="148"/>
      <c r="C131" s="148"/>
      <c r="D131" s="148"/>
      <c r="E131" s="148"/>
      <c r="F131" s="148"/>
    </row>
    <row r="132" spans="1:6" x14ac:dyDescent="0.5">
      <c r="A132" s="148"/>
      <c r="B132" s="148"/>
      <c r="C132" s="148"/>
      <c r="D132" s="148"/>
      <c r="E132" s="148"/>
      <c r="F132" s="148"/>
    </row>
    <row r="133" spans="1:6" x14ac:dyDescent="0.5">
      <c r="A133" s="148"/>
      <c r="B133" s="148"/>
      <c r="C133" s="148"/>
      <c r="D133" s="148"/>
      <c r="E133" s="148"/>
      <c r="F133" s="148"/>
    </row>
    <row r="134" spans="1:6" x14ac:dyDescent="0.5">
      <c r="A134" s="148"/>
      <c r="B134" s="148"/>
      <c r="C134" s="148"/>
      <c r="D134" s="148"/>
      <c r="E134" s="148"/>
      <c r="F134" s="148"/>
    </row>
    <row r="135" spans="1:6" x14ac:dyDescent="0.5">
      <c r="A135" s="148"/>
      <c r="B135" s="148"/>
      <c r="C135" s="148"/>
      <c r="D135" s="148"/>
      <c r="E135" s="148"/>
      <c r="F135" s="148"/>
    </row>
    <row r="136" spans="1:6" x14ac:dyDescent="0.5">
      <c r="A136" s="148"/>
      <c r="B136" s="148"/>
      <c r="C136" s="148"/>
      <c r="D136" s="148"/>
      <c r="E136" s="148"/>
      <c r="F136" s="148"/>
    </row>
    <row r="137" spans="1:6" x14ac:dyDescent="0.5">
      <c r="A137" s="148"/>
      <c r="B137" s="148"/>
      <c r="C137" s="148"/>
      <c r="D137" s="148"/>
      <c r="E137" s="148"/>
      <c r="F137" s="148"/>
    </row>
    <row r="138" spans="1:6" x14ac:dyDescent="0.5">
      <c r="A138" s="148"/>
      <c r="B138" s="148"/>
      <c r="C138" s="148"/>
      <c r="D138" s="148"/>
      <c r="E138" s="148"/>
      <c r="F138" s="148"/>
    </row>
    <row r="139" spans="1:6" x14ac:dyDescent="0.5">
      <c r="A139" s="148"/>
      <c r="B139" s="148"/>
      <c r="C139" s="148"/>
      <c r="D139" s="148"/>
      <c r="E139" s="148"/>
      <c r="F139" s="148"/>
    </row>
    <row r="140" spans="1:6" x14ac:dyDescent="0.5">
      <c r="A140" s="148"/>
      <c r="B140" s="148"/>
      <c r="C140" s="148"/>
      <c r="D140" s="148"/>
      <c r="E140" s="148"/>
      <c r="F140" s="148"/>
    </row>
    <row r="141" spans="1:6" x14ac:dyDescent="0.5">
      <c r="A141" s="148"/>
      <c r="B141" s="148"/>
      <c r="C141" s="148"/>
      <c r="D141" s="148"/>
      <c r="E141" s="148"/>
      <c r="F141" s="148"/>
    </row>
    <row r="142" spans="1:6" x14ac:dyDescent="0.5">
      <c r="A142" s="148"/>
      <c r="B142" s="148"/>
      <c r="C142" s="148"/>
      <c r="D142" s="148"/>
      <c r="E142" s="148"/>
      <c r="F142" s="148"/>
    </row>
    <row r="143" spans="1:6" x14ac:dyDescent="0.5">
      <c r="A143" s="148"/>
      <c r="B143" s="148"/>
      <c r="C143" s="148"/>
      <c r="D143" s="148"/>
      <c r="E143" s="148"/>
      <c r="F143" s="148"/>
    </row>
    <row r="144" spans="1:6" x14ac:dyDescent="0.5">
      <c r="A144" s="148"/>
      <c r="B144" s="148"/>
      <c r="C144" s="148"/>
      <c r="D144" s="148"/>
      <c r="E144" s="148"/>
      <c r="F144" s="148"/>
    </row>
    <row r="145" spans="1:12" x14ac:dyDescent="0.5">
      <c r="A145" s="148"/>
      <c r="B145" s="148"/>
      <c r="C145" s="148"/>
      <c r="D145" s="148"/>
      <c r="E145" s="148"/>
      <c r="F145" s="148"/>
    </row>
    <row r="146" spans="1:12" x14ac:dyDescent="0.5">
      <c r="A146" s="148"/>
      <c r="B146" s="148"/>
      <c r="C146" s="148"/>
      <c r="D146" s="148"/>
      <c r="E146" s="148"/>
      <c r="F146" s="148"/>
    </row>
    <row r="147" spans="1:12" x14ac:dyDescent="0.5">
      <c r="A147" s="148"/>
      <c r="B147" s="148"/>
      <c r="C147" s="148"/>
      <c r="D147" s="148"/>
      <c r="E147" s="148"/>
      <c r="F147" s="148"/>
    </row>
    <row r="148" spans="1:12" x14ac:dyDescent="0.5">
      <c r="A148" s="148"/>
      <c r="B148" s="148"/>
      <c r="C148" s="148"/>
      <c r="D148" s="148"/>
      <c r="E148" s="148"/>
      <c r="F148" s="148"/>
    </row>
    <row r="149" spans="1:12" x14ac:dyDescent="0.5">
      <c r="A149" s="148"/>
      <c r="B149" s="148"/>
      <c r="C149" s="148"/>
      <c r="D149" s="148"/>
      <c r="E149" s="148"/>
      <c r="F149" s="148"/>
    </row>
    <row r="150" spans="1:12" x14ac:dyDescent="0.5">
      <c r="A150" s="148"/>
      <c r="B150" s="148"/>
      <c r="C150" s="148"/>
      <c r="D150" s="148"/>
      <c r="E150" s="148"/>
      <c r="F150" s="148"/>
    </row>
    <row r="151" spans="1:12" x14ac:dyDescent="0.5">
      <c r="A151" s="148"/>
      <c r="B151" s="148"/>
      <c r="C151" s="148"/>
      <c r="D151" s="148"/>
      <c r="E151" s="148"/>
      <c r="F151" s="148"/>
    </row>
    <row r="152" spans="1:12" x14ac:dyDescent="0.5">
      <c r="A152" s="148"/>
      <c r="B152" s="148"/>
      <c r="C152" s="148"/>
      <c r="D152" s="148"/>
      <c r="E152" s="148"/>
      <c r="F152" s="148"/>
    </row>
    <row r="153" spans="1:12" x14ac:dyDescent="0.5">
      <c r="A153" s="148"/>
      <c r="B153" s="148"/>
      <c r="C153" s="148"/>
      <c r="D153" s="148"/>
      <c r="E153" s="148"/>
      <c r="F153" s="148"/>
    </row>
    <row r="154" spans="1:12" x14ac:dyDescent="0.5">
      <c r="A154" s="148"/>
      <c r="B154" s="148"/>
      <c r="C154" s="148"/>
      <c r="D154" s="148"/>
      <c r="E154" s="148"/>
      <c r="F154" s="148"/>
    </row>
    <row r="155" spans="1:12" s="148" customFormat="1" ht="13.8" x14ac:dyDescent="0.45"/>
    <row r="156" spans="1:12" s="148" customFormat="1" ht="13.8" x14ac:dyDescent="0.45"/>
    <row r="157" spans="1:12" s="148" customFormat="1" ht="13.8" x14ac:dyDescent="0.45"/>
    <row r="158" spans="1:12" s="148" customFormat="1" ht="13.8" x14ac:dyDescent="0.45"/>
    <row r="159" spans="1:12" x14ac:dyDescent="0.5">
      <c r="A159" s="148"/>
      <c r="B159" s="148"/>
      <c r="C159" s="148"/>
      <c r="D159" s="148"/>
      <c r="E159" s="148"/>
      <c r="F159" s="148"/>
    </row>
    <row r="160" spans="1:12" x14ac:dyDescent="0.5">
      <c r="A160" s="148"/>
      <c r="B160" s="148"/>
      <c r="C160" s="148"/>
      <c r="D160" s="148"/>
      <c r="E160" s="148"/>
      <c r="F160" s="148"/>
      <c r="H160" s="148"/>
      <c r="I160" s="148"/>
      <c r="J160" s="148"/>
      <c r="K160" s="148"/>
      <c r="L160" s="148"/>
    </row>
    <row r="161" spans="1:13" x14ac:dyDescent="0.5">
      <c r="A161" s="148"/>
      <c r="B161" s="148"/>
      <c r="C161" s="148"/>
      <c r="D161" s="148"/>
      <c r="E161" s="148"/>
      <c r="F161" s="148"/>
      <c r="H161" s="148"/>
      <c r="I161" s="148"/>
      <c r="J161" s="148"/>
      <c r="K161" s="148"/>
      <c r="L161" s="148"/>
    </row>
    <row r="162" spans="1:13" x14ac:dyDescent="0.5">
      <c r="A162" s="148"/>
      <c r="B162" s="148"/>
      <c r="C162" s="148"/>
      <c r="D162" s="148"/>
      <c r="E162" s="148"/>
      <c r="F162" s="148"/>
      <c r="H162" s="148"/>
      <c r="I162" s="148"/>
      <c r="J162" s="148"/>
      <c r="K162" s="148"/>
      <c r="L162" s="148"/>
    </row>
    <row r="163" spans="1:13" x14ac:dyDescent="0.5">
      <c r="A163" s="148"/>
      <c r="B163" s="148"/>
      <c r="C163" s="148"/>
      <c r="D163" s="148"/>
      <c r="E163" s="148"/>
      <c r="F163" s="148"/>
      <c r="H163" s="148"/>
      <c r="I163" s="148"/>
      <c r="J163" s="148"/>
      <c r="K163" s="148"/>
      <c r="L163" s="148"/>
    </row>
    <row r="164" spans="1:13" x14ac:dyDescent="0.5">
      <c r="A164" s="148"/>
      <c r="B164" s="148"/>
      <c r="C164" s="148"/>
      <c r="D164" s="148"/>
      <c r="E164" s="148"/>
      <c r="F164" s="148"/>
      <c r="H164" s="148"/>
      <c r="I164" s="148"/>
      <c r="J164" s="148"/>
      <c r="K164" s="148"/>
      <c r="L164" s="148"/>
    </row>
    <row r="165" spans="1:13" x14ac:dyDescent="0.5">
      <c r="A165" s="148"/>
      <c r="B165" s="148"/>
      <c r="C165" s="148"/>
      <c r="D165" s="148"/>
      <c r="E165" s="148"/>
      <c r="F165" s="148"/>
      <c r="H165" s="148"/>
      <c r="I165" s="148"/>
      <c r="J165" s="148"/>
      <c r="K165" s="148"/>
      <c r="L165" s="148"/>
    </row>
    <row r="166" spans="1:13" s="148" customFormat="1" ht="13.8" x14ac:dyDescent="0.45"/>
    <row r="167" spans="1:13" x14ac:dyDescent="0.5">
      <c r="A167" s="148"/>
      <c r="B167" s="148"/>
      <c r="C167" s="148"/>
      <c r="D167" s="148"/>
      <c r="E167" s="148"/>
      <c r="F167" s="148"/>
      <c r="H167" s="148"/>
      <c r="I167" s="148"/>
      <c r="J167" s="148"/>
      <c r="K167" s="148"/>
      <c r="L167" s="148"/>
      <c r="M167" s="149"/>
    </row>
    <row r="168" spans="1:13" s="148" customFormat="1" ht="13.8" x14ac:dyDescent="0.45"/>
    <row r="169" spans="1:13" s="148" customFormat="1" ht="13.8" x14ac:dyDescent="0.45"/>
    <row r="170" spans="1:13" s="148" customFormat="1" ht="13.8" x14ac:dyDescent="0.45"/>
    <row r="171" spans="1:13" s="148" customFormat="1" ht="13.8" x14ac:dyDescent="0.45"/>
    <row r="172" spans="1:13" s="148" customFormat="1" ht="13.8" x14ac:dyDescent="0.45"/>
    <row r="173" spans="1:13" x14ac:dyDescent="0.5">
      <c r="A173" s="148"/>
      <c r="B173" s="148"/>
      <c r="C173" s="148"/>
      <c r="D173" s="148"/>
      <c r="E173" s="148"/>
      <c r="F173" s="148"/>
      <c r="H173" s="148"/>
      <c r="I173" s="148"/>
      <c r="J173" s="148"/>
      <c r="K173" s="148"/>
    </row>
    <row r="174" spans="1:13" s="148" customFormat="1" ht="13.8" x14ac:dyDescent="0.45"/>
    <row r="175" spans="1:13" s="148" customFormat="1" ht="13.8" x14ac:dyDescent="0.45"/>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70BA1-73C2-4166-BB94-F313AD331B04}">
  <sheetPr codeName="Sheet17"/>
  <dimension ref="A1:F1"/>
  <sheetViews>
    <sheetView workbookViewId="0">
      <selection activeCell="D19" sqref="D19"/>
    </sheetView>
  </sheetViews>
  <sheetFormatPr defaultRowHeight="12.3" x14ac:dyDescent="0.4"/>
  <sheetData>
    <row r="1" spans="1:6" x14ac:dyDescent="0.4">
      <c r="A1" t="s">
        <v>218</v>
      </c>
      <c r="B1" t="s">
        <v>215</v>
      </c>
      <c r="C1" t="s">
        <v>220</v>
      </c>
      <c r="D1" t="s">
        <v>216</v>
      </c>
      <c r="E1">
        <v>2</v>
      </c>
      <c r="F1" t="s">
        <v>217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2C55C-C2BB-44D5-BA61-1E6FDDC9B25F}">
  <sheetPr codeName="Sheet13"/>
  <dimension ref="B1:B1000"/>
  <sheetViews>
    <sheetView workbookViewId="0">
      <selection activeCell="B2" sqref="B2"/>
    </sheetView>
  </sheetViews>
  <sheetFormatPr defaultRowHeight="12.3" x14ac:dyDescent="0.4"/>
  <cols>
    <col min="1" max="1" width="6.6640625" bestFit="1" customWidth="1"/>
    <col min="2" max="2" width="15.109375" style="150" bestFit="1" customWidth="1"/>
    <col min="3" max="3" width="14.88671875" bestFit="1" customWidth="1"/>
  </cols>
  <sheetData>
    <row r="1" spans="2:2" x14ac:dyDescent="0.4">
      <c r="B1"/>
    </row>
    <row r="2" spans="2:2" x14ac:dyDescent="0.4">
      <c r="B2"/>
    </row>
    <row r="3" spans="2:2" x14ac:dyDescent="0.4">
      <c r="B3"/>
    </row>
    <row r="4" spans="2:2" x14ac:dyDescent="0.4">
      <c r="B4"/>
    </row>
    <row r="5" spans="2:2" x14ac:dyDescent="0.4">
      <c r="B5"/>
    </row>
    <row r="6" spans="2:2" x14ac:dyDescent="0.4">
      <c r="B6"/>
    </row>
    <row r="7" spans="2:2" x14ac:dyDescent="0.4">
      <c r="B7"/>
    </row>
    <row r="8" spans="2:2" x14ac:dyDescent="0.4">
      <c r="B8"/>
    </row>
    <row r="9" spans="2:2" x14ac:dyDescent="0.4">
      <c r="B9"/>
    </row>
    <row r="10" spans="2:2" x14ac:dyDescent="0.4">
      <c r="B10"/>
    </row>
    <row r="11" spans="2:2" x14ac:dyDescent="0.4">
      <c r="B11"/>
    </row>
    <row r="12" spans="2:2" x14ac:dyDescent="0.4">
      <c r="B12"/>
    </row>
    <row r="13" spans="2:2" x14ac:dyDescent="0.4">
      <c r="B13"/>
    </row>
    <row r="14" spans="2:2" x14ac:dyDescent="0.4">
      <c r="B14"/>
    </row>
    <row r="15" spans="2:2" x14ac:dyDescent="0.4">
      <c r="B15"/>
    </row>
    <row r="16" spans="2:2" x14ac:dyDescent="0.4">
      <c r="B16"/>
    </row>
    <row r="17" spans="2:2" x14ac:dyDescent="0.4">
      <c r="B17"/>
    </row>
    <row r="18" spans="2:2" x14ac:dyDescent="0.4">
      <c r="B18"/>
    </row>
    <row r="19" spans="2:2" x14ac:dyDescent="0.4">
      <c r="B19"/>
    </row>
    <row r="20" spans="2:2" x14ac:dyDescent="0.4">
      <c r="B20"/>
    </row>
    <row r="21" spans="2:2" x14ac:dyDescent="0.4">
      <c r="B21"/>
    </row>
    <row r="22" spans="2:2" x14ac:dyDescent="0.4">
      <c r="B22"/>
    </row>
    <row r="23" spans="2:2" x14ac:dyDescent="0.4">
      <c r="B23"/>
    </row>
    <row r="24" spans="2:2" x14ac:dyDescent="0.4">
      <c r="B24"/>
    </row>
    <row r="25" spans="2:2" x14ac:dyDescent="0.4">
      <c r="B25"/>
    </row>
    <row r="26" spans="2:2" x14ac:dyDescent="0.4">
      <c r="B26"/>
    </row>
    <row r="27" spans="2:2" x14ac:dyDescent="0.4">
      <c r="B27"/>
    </row>
    <row r="28" spans="2:2" x14ac:dyDescent="0.4">
      <c r="B28"/>
    </row>
    <row r="29" spans="2:2" x14ac:dyDescent="0.4">
      <c r="B29"/>
    </row>
    <row r="30" spans="2:2" x14ac:dyDescent="0.4">
      <c r="B30"/>
    </row>
    <row r="31" spans="2:2" x14ac:dyDescent="0.4">
      <c r="B31"/>
    </row>
    <row r="32" spans="2:2" x14ac:dyDescent="0.4">
      <c r="B32"/>
    </row>
    <row r="33" spans="2:2" x14ac:dyDescent="0.4">
      <c r="B33"/>
    </row>
    <row r="34" spans="2:2" x14ac:dyDescent="0.4">
      <c r="B34"/>
    </row>
    <row r="35" spans="2:2" x14ac:dyDescent="0.4">
      <c r="B35"/>
    </row>
    <row r="36" spans="2:2" x14ac:dyDescent="0.4">
      <c r="B36"/>
    </row>
    <row r="37" spans="2:2" x14ac:dyDescent="0.4">
      <c r="B37"/>
    </row>
    <row r="38" spans="2:2" x14ac:dyDescent="0.4">
      <c r="B38"/>
    </row>
    <row r="39" spans="2:2" x14ac:dyDescent="0.4">
      <c r="B39"/>
    </row>
    <row r="40" spans="2:2" x14ac:dyDescent="0.4">
      <c r="B40"/>
    </row>
    <row r="41" spans="2:2" x14ac:dyDescent="0.4">
      <c r="B41"/>
    </row>
    <row r="42" spans="2:2" x14ac:dyDescent="0.4">
      <c r="B42"/>
    </row>
    <row r="43" spans="2:2" x14ac:dyDescent="0.4">
      <c r="B43"/>
    </row>
    <row r="44" spans="2:2" x14ac:dyDescent="0.4">
      <c r="B44"/>
    </row>
    <row r="45" spans="2:2" x14ac:dyDescent="0.4">
      <c r="B45"/>
    </row>
    <row r="46" spans="2:2" x14ac:dyDescent="0.4">
      <c r="B46"/>
    </row>
    <row r="47" spans="2:2" x14ac:dyDescent="0.4">
      <c r="B47"/>
    </row>
    <row r="48" spans="2:2" x14ac:dyDescent="0.4">
      <c r="B48"/>
    </row>
    <row r="49" spans="2:2" x14ac:dyDescent="0.4">
      <c r="B49"/>
    </row>
    <row r="50" spans="2:2" x14ac:dyDescent="0.4">
      <c r="B50"/>
    </row>
    <row r="51" spans="2:2" x14ac:dyDescent="0.4">
      <c r="B51"/>
    </row>
    <row r="52" spans="2:2" x14ac:dyDescent="0.4">
      <c r="B52"/>
    </row>
    <row r="53" spans="2:2" x14ac:dyDescent="0.4">
      <c r="B53"/>
    </row>
    <row r="54" spans="2:2" x14ac:dyDescent="0.4">
      <c r="B54"/>
    </row>
    <row r="55" spans="2:2" x14ac:dyDescent="0.4">
      <c r="B55"/>
    </row>
    <row r="56" spans="2:2" x14ac:dyDescent="0.4">
      <c r="B56"/>
    </row>
    <row r="57" spans="2:2" x14ac:dyDescent="0.4">
      <c r="B57"/>
    </row>
    <row r="58" spans="2:2" x14ac:dyDescent="0.4">
      <c r="B58"/>
    </row>
    <row r="59" spans="2:2" x14ac:dyDescent="0.4">
      <c r="B59"/>
    </row>
    <row r="60" spans="2:2" x14ac:dyDescent="0.4">
      <c r="B60"/>
    </row>
    <row r="61" spans="2:2" x14ac:dyDescent="0.4">
      <c r="B61"/>
    </row>
    <row r="62" spans="2:2" x14ac:dyDescent="0.4">
      <c r="B62"/>
    </row>
    <row r="63" spans="2:2" x14ac:dyDescent="0.4">
      <c r="B63"/>
    </row>
    <row r="64" spans="2:2" x14ac:dyDescent="0.4">
      <c r="B64"/>
    </row>
    <row r="65" spans="2:2" x14ac:dyDescent="0.4">
      <c r="B65"/>
    </row>
    <row r="66" spans="2:2" x14ac:dyDescent="0.4">
      <c r="B66"/>
    </row>
    <row r="67" spans="2:2" x14ac:dyDescent="0.4">
      <c r="B67"/>
    </row>
    <row r="68" spans="2:2" x14ac:dyDescent="0.4">
      <c r="B68"/>
    </row>
    <row r="69" spans="2:2" x14ac:dyDescent="0.4">
      <c r="B69"/>
    </row>
    <row r="70" spans="2:2" x14ac:dyDescent="0.4">
      <c r="B70"/>
    </row>
    <row r="71" spans="2:2" x14ac:dyDescent="0.4">
      <c r="B71"/>
    </row>
    <row r="72" spans="2:2" x14ac:dyDescent="0.4">
      <c r="B72"/>
    </row>
    <row r="73" spans="2:2" x14ac:dyDescent="0.4">
      <c r="B73"/>
    </row>
    <row r="74" spans="2:2" x14ac:dyDescent="0.4">
      <c r="B74"/>
    </row>
    <row r="75" spans="2:2" x14ac:dyDescent="0.4">
      <c r="B75"/>
    </row>
    <row r="76" spans="2:2" x14ac:dyDescent="0.4">
      <c r="B76"/>
    </row>
    <row r="77" spans="2:2" x14ac:dyDescent="0.4">
      <c r="B77"/>
    </row>
    <row r="78" spans="2:2" x14ac:dyDescent="0.4">
      <c r="B78"/>
    </row>
    <row r="79" spans="2:2" x14ac:dyDescent="0.4">
      <c r="B79"/>
    </row>
    <row r="80" spans="2:2" x14ac:dyDescent="0.4">
      <c r="B80"/>
    </row>
    <row r="81" spans="2:2" x14ac:dyDescent="0.4">
      <c r="B81"/>
    </row>
    <row r="82" spans="2:2" x14ac:dyDescent="0.4">
      <c r="B82"/>
    </row>
    <row r="83" spans="2:2" x14ac:dyDescent="0.4">
      <c r="B83"/>
    </row>
    <row r="84" spans="2:2" x14ac:dyDescent="0.4">
      <c r="B84"/>
    </row>
    <row r="85" spans="2:2" x14ac:dyDescent="0.4">
      <c r="B85"/>
    </row>
    <row r="86" spans="2:2" x14ac:dyDescent="0.4">
      <c r="B86"/>
    </row>
    <row r="87" spans="2:2" x14ac:dyDescent="0.4">
      <c r="B87"/>
    </row>
    <row r="88" spans="2:2" x14ac:dyDescent="0.4">
      <c r="B88"/>
    </row>
    <row r="89" spans="2:2" x14ac:dyDescent="0.4">
      <c r="B89"/>
    </row>
    <row r="90" spans="2:2" x14ac:dyDescent="0.4">
      <c r="B90"/>
    </row>
    <row r="91" spans="2:2" x14ac:dyDescent="0.4">
      <c r="B91"/>
    </row>
    <row r="92" spans="2:2" x14ac:dyDescent="0.4">
      <c r="B92"/>
    </row>
    <row r="93" spans="2:2" x14ac:dyDescent="0.4">
      <c r="B93"/>
    </row>
    <row r="94" spans="2:2" x14ac:dyDescent="0.4">
      <c r="B94"/>
    </row>
    <row r="95" spans="2:2" x14ac:dyDescent="0.4">
      <c r="B95"/>
    </row>
    <row r="96" spans="2:2" x14ac:dyDescent="0.4">
      <c r="B96"/>
    </row>
    <row r="97" spans="2:2" x14ac:dyDescent="0.4">
      <c r="B97"/>
    </row>
    <row r="98" spans="2:2" x14ac:dyDescent="0.4">
      <c r="B98"/>
    </row>
    <row r="99" spans="2:2" x14ac:dyDescent="0.4">
      <c r="B99"/>
    </row>
    <row r="100" spans="2:2" x14ac:dyDescent="0.4">
      <c r="B100"/>
    </row>
    <row r="101" spans="2:2" x14ac:dyDescent="0.4">
      <c r="B101"/>
    </row>
    <row r="102" spans="2:2" x14ac:dyDescent="0.4">
      <c r="B102"/>
    </row>
    <row r="103" spans="2:2" x14ac:dyDescent="0.4">
      <c r="B103"/>
    </row>
    <row r="104" spans="2:2" x14ac:dyDescent="0.4">
      <c r="B104"/>
    </row>
    <row r="105" spans="2:2" x14ac:dyDescent="0.4">
      <c r="B105"/>
    </row>
    <row r="106" spans="2:2" x14ac:dyDescent="0.4">
      <c r="B106"/>
    </row>
    <row r="107" spans="2:2" x14ac:dyDescent="0.4">
      <c r="B107"/>
    </row>
    <row r="108" spans="2:2" x14ac:dyDescent="0.4">
      <c r="B108"/>
    </row>
    <row r="109" spans="2:2" x14ac:dyDescent="0.4">
      <c r="B109"/>
    </row>
    <row r="110" spans="2:2" x14ac:dyDescent="0.4">
      <c r="B110"/>
    </row>
    <row r="111" spans="2:2" x14ac:dyDescent="0.4">
      <c r="B111"/>
    </row>
    <row r="112" spans="2:2" x14ac:dyDescent="0.4">
      <c r="B112"/>
    </row>
    <row r="113" spans="2:2" x14ac:dyDescent="0.4">
      <c r="B113"/>
    </row>
    <row r="114" spans="2:2" x14ac:dyDescent="0.4">
      <c r="B114"/>
    </row>
    <row r="115" spans="2:2" x14ac:dyDescent="0.4">
      <c r="B115"/>
    </row>
    <row r="116" spans="2:2" x14ac:dyDescent="0.4">
      <c r="B116"/>
    </row>
    <row r="117" spans="2:2" x14ac:dyDescent="0.4">
      <c r="B117"/>
    </row>
    <row r="118" spans="2:2" x14ac:dyDescent="0.4">
      <c r="B118"/>
    </row>
    <row r="119" spans="2:2" x14ac:dyDescent="0.4">
      <c r="B119"/>
    </row>
    <row r="120" spans="2:2" x14ac:dyDescent="0.4">
      <c r="B120"/>
    </row>
    <row r="121" spans="2:2" x14ac:dyDescent="0.4">
      <c r="B121"/>
    </row>
    <row r="122" spans="2:2" x14ac:dyDescent="0.4">
      <c r="B122"/>
    </row>
    <row r="123" spans="2:2" x14ac:dyDescent="0.4">
      <c r="B123"/>
    </row>
    <row r="124" spans="2:2" x14ac:dyDescent="0.4">
      <c r="B124"/>
    </row>
    <row r="125" spans="2:2" x14ac:dyDescent="0.4">
      <c r="B125"/>
    </row>
    <row r="126" spans="2:2" x14ac:dyDescent="0.4">
      <c r="B126"/>
    </row>
    <row r="127" spans="2:2" x14ac:dyDescent="0.4">
      <c r="B127"/>
    </row>
    <row r="128" spans="2:2" x14ac:dyDescent="0.4">
      <c r="B128"/>
    </row>
    <row r="129" spans="2:2" x14ac:dyDescent="0.4">
      <c r="B129"/>
    </row>
    <row r="130" spans="2:2" x14ac:dyDescent="0.4">
      <c r="B130"/>
    </row>
    <row r="131" spans="2:2" x14ac:dyDescent="0.4">
      <c r="B131"/>
    </row>
    <row r="132" spans="2:2" x14ac:dyDescent="0.4">
      <c r="B132"/>
    </row>
    <row r="133" spans="2:2" x14ac:dyDescent="0.4">
      <c r="B133"/>
    </row>
    <row r="134" spans="2:2" x14ac:dyDescent="0.4">
      <c r="B134"/>
    </row>
    <row r="135" spans="2:2" x14ac:dyDescent="0.4">
      <c r="B135"/>
    </row>
    <row r="136" spans="2:2" x14ac:dyDescent="0.4">
      <c r="B136"/>
    </row>
    <row r="137" spans="2:2" x14ac:dyDescent="0.4">
      <c r="B137"/>
    </row>
    <row r="138" spans="2:2" x14ac:dyDescent="0.4">
      <c r="B138"/>
    </row>
    <row r="139" spans="2:2" x14ac:dyDescent="0.4">
      <c r="B139"/>
    </row>
    <row r="140" spans="2:2" x14ac:dyDescent="0.4">
      <c r="B140"/>
    </row>
    <row r="141" spans="2:2" x14ac:dyDescent="0.4">
      <c r="B141"/>
    </row>
    <row r="142" spans="2:2" x14ac:dyDescent="0.4">
      <c r="B142"/>
    </row>
    <row r="143" spans="2:2" x14ac:dyDescent="0.4">
      <c r="B143"/>
    </row>
    <row r="144" spans="2:2" x14ac:dyDescent="0.4">
      <c r="B144"/>
    </row>
    <row r="145" spans="2:2" x14ac:dyDescent="0.4">
      <c r="B145"/>
    </row>
    <row r="146" spans="2:2" x14ac:dyDescent="0.4">
      <c r="B146"/>
    </row>
    <row r="147" spans="2:2" x14ac:dyDescent="0.4">
      <c r="B147"/>
    </row>
    <row r="148" spans="2:2" x14ac:dyDescent="0.4">
      <c r="B148"/>
    </row>
    <row r="149" spans="2:2" x14ac:dyDescent="0.4">
      <c r="B149"/>
    </row>
    <row r="150" spans="2:2" x14ac:dyDescent="0.4">
      <c r="B150"/>
    </row>
    <row r="151" spans="2:2" x14ac:dyDescent="0.4">
      <c r="B151"/>
    </row>
    <row r="152" spans="2:2" x14ac:dyDescent="0.4">
      <c r="B152"/>
    </row>
    <row r="153" spans="2:2" x14ac:dyDescent="0.4">
      <c r="B153"/>
    </row>
    <row r="154" spans="2:2" x14ac:dyDescent="0.4">
      <c r="B154"/>
    </row>
    <row r="155" spans="2:2" x14ac:dyDescent="0.4">
      <c r="B155"/>
    </row>
    <row r="156" spans="2:2" x14ac:dyDescent="0.4">
      <c r="B156"/>
    </row>
    <row r="157" spans="2:2" x14ac:dyDescent="0.4">
      <c r="B157"/>
    </row>
    <row r="158" spans="2:2" x14ac:dyDescent="0.4">
      <c r="B158"/>
    </row>
    <row r="159" spans="2:2" x14ac:dyDescent="0.4">
      <c r="B159"/>
    </row>
    <row r="160" spans="2:2" x14ac:dyDescent="0.4">
      <c r="B160"/>
    </row>
    <row r="161" spans="2:2" x14ac:dyDescent="0.4">
      <c r="B161"/>
    </row>
    <row r="162" spans="2:2" x14ac:dyDescent="0.4">
      <c r="B162"/>
    </row>
    <row r="163" spans="2:2" x14ac:dyDescent="0.4">
      <c r="B163"/>
    </row>
    <row r="164" spans="2:2" x14ac:dyDescent="0.4">
      <c r="B164"/>
    </row>
    <row r="165" spans="2:2" x14ac:dyDescent="0.4">
      <c r="B165"/>
    </row>
    <row r="166" spans="2:2" x14ac:dyDescent="0.4">
      <c r="B166"/>
    </row>
    <row r="167" spans="2:2" x14ac:dyDescent="0.4">
      <c r="B167"/>
    </row>
    <row r="168" spans="2:2" x14ac:dyDescent="0.4">
      <c r="B168"/>
    </row>
    <row r="169" spans="2:2" x14ac:dyDescent="0.4">
      <c r="B169"/>
    </row>
    <row r="170" spans="2:2" x14ac:dyDescent="0.4">
      <c r="B170"/>
    </row>
    <row r="171" spans="2:2" x14ac:dyDescent="0.4">
      <c r="B171"/>
    </row>
    <row r="172" spans="2:2" x14ac:dyDescent="0.4">
      <c r="B172"/>
    </row>
    <row r="173" spans="2:2" x14ac:dyDescent="0.4">
      <c r="B173"/>
    </row>
    <row r="174" spans="2:2" x14ac:dyDescent="0.4">
      <c r="B174"/>
    </row>
    <row r="175" spans="2:2" x14ac:dyDescent="0.4">
      <c r="B175"/>
    </row>
    <row r="176" spans="2:2" x14ac:dyDescent="0.4">
      <c r="B176"/>
    </row>
    <row r="177" spans="2:2" x14ac:dyDescent="0.4">
      <c r="B177"/>
    </row>
    <row r="178" spans="2:2" x14ac:dyDescent="0.4">
      <c r="B178"/>
    </row>
    <row r="179" spans="2:2" x14ac:dyDescent="0.4">
      <c r="B179"/>
    </row>
    <row r="180" spans="2:2" x14ac:dyDescent="0.4">
      <c r="B180"/>
    </row>
    <row r="181" spans="2:2" x14ac:dyDescent="0.4">
      <c r="B181"/>
    </row>
    <row r="182" spans="2:2" x14ac:dyDescent="0.4">
      <c r="B182"/>
    </row>
    <row r="183" spans="2:2" x14ac:dyDescent="0.4">
      <c r="B183"/>
    </row>
    <row r="184" spans="2:2" x14ac:dyDescent="0.4">
      <c r="B184"/>
    </row>
    <row r="185" spans="2:2" x14ac:dyDescent="0.4">
      <c r="B185"/>
    </row>
    <row r="186" spans="2:2" x14ac:dyDescent="0.4">
      <c r="B186"/>
    </row>
    <row r="187" spans="2:2" x14ac:dyDescent="0.4">
      <c r="B187"/>
    </row>
    <row r="188" spans="2:2" x14ac:dyDescent="0.4">
      <c r="B188"/>
    </row>
    <row r="189" spans="2:2" x14ac:dyDescent="0.4">
      <c r="B189"/>
    </row>
    <row r="190" spans="2:2" x14ac:dyDescent="0.4">
      <c r="B190"/>
    </row>
    <row r="191" spans="2:2" x14ac:dyDescent="0.4">
      <c r="B191"/>
    </row>
    <row r="192" spans="2:2" x14ac:dyDescent="0.4">
      <c r="B192"/>
    </row>
    <row r="193" spans="2:2" x14ac:dyDescent="0.4">
      <c r="B193"/>
    </row>
    <row r="194" spans="2:2" x14ac:dyDescent="0.4">
      <c r="B194"/>
    </row>
    <row r="195" spans="2:2" x14ac:dyDescent="0.4">
      <c r="B195"/>
    </row>
    <row r="196" spans="2:2" x14ac:dyDescent="0.4">
      <c r="B196"/>
    </row>
    <row r="197" spans="2:2" x14ac:dyDescent="0.4">
      <c r="B197"/>
    </row>
    <row r="198" spans="2:2" x14ac:dyDescent="0.4">
      <c r="B198"/>
    </row>
    <row r="199" spans="2:2" x14ac:dyDescent="0.4">
      <c r="B199"/>
    </row>
    <row r="200" spans="2:2" x14ac:dyDescent="0.4">
      <c r="B200"/>
    </row>
    <row r="201" spans="2:2" x14ac:dyDescent="0.4">
      <c r="B201"/>
    </row>
    <row r="202" spans="2:2" x14ac:dyDescent="0.4">
      <c r="B202"/>
    </row>
    <row r="203" spans="2:2" x14ac:dyDescent="0.4">
      <c r="B203"/>
    </row>
    <row r="204" spans="2:2" x14ac:dyDescent="0.4">
      <c r="B204"/>
    </row>
    <row r="205" spans="2:2" x14ac:dyDescent="0.4">
      <c r="B205"/>
    </row>
    <row r="206" spans="2:2" x14ac:dyDescent="0.4">
      <c r="B206"/>
    </row>
    <row r="207" spans="2:2" x14ac:dyDescent="0.4">
      <c r="B207"/>
    </row>
    <row r="208" spans="2:2" x14ac:dyDescent="0.4">
      <c r="B208"/>
    </row>
    <row r="209" spans="2:2" x14ac:dyDescent="0.4">
      <c r="B209"/>
    </row>
    <row r="210" spans="2:2" x14ac:dyDescent="0.4">
      <c r="B210"/>
    </row>
    <row r="211" spans="2:2" x14ac:dyDescent="0.4">
      <c r="B211"/>
    </row>
    <row r="212" spans="2:2" x14ac:dyDescent="0.4">
      <c r="B212"/>
    </row>
    <row r="213" spans="2:2" x14ac:dyDescent="0.4">
      <c r="B213"/>
    </row>
    <row r="214" spans="2:2" x14ac:dyDescent="0.4">
      <c r="B214"/>
    </row>
    <row r="215" spans="2:2" x14ac:dyDescent="0.4">
      <c r="B215"/>
    </row>
    <row r="216" spans="2:2" x14ac:dyDescent="0.4">
      <c r="B216"/>
    </row>
    <row r="217" spans="2:2" x14ac:dyDescent="0.4">
      <c r="B217"/>
    </row>
    <row r="218" spans="2:2" x14ac:dyDescent="0.4">
      <c r="B218"/>
    </row>
    <row r="219" spans="2:2" x14ac:dyDescent="0.4">
      <c r="B219"/>
    </row>
    <row r="220" spans="2:2" x14ac:dyDescent="0.4">
      <c r="B220"/>
    </row>
    <row r="221" spans="2:2" x14ac:dyDescent="0.4">
      <c r="B221"/>
    </row>
    <row r="222" spans="2:2" x14ac:dyDescent="0.4">
      <c r="B222"/>
    </row>
    <row r="223" spans="2:2" x14ac:dyDescent="0.4">
      <c r="B223"/>
    </row>
    <row r="224" spans="2:2" x14ac:dyDescent="0.4">
      <c r="B224"/>
    </row>
    <row r="225" spans="2:2" x14ac:dyDescent="0.4">
      <c r="B225"/>
    </row>
    <row r="226" spans="2:2" x14ac:dyDescent="0.4">
      <c r="B226"/>
    </row>
    <row r="227" spans="2:2" x14ac:dyDescent="0.4">
      <c r="B227"/>
    </row>
    <row r="228" spans="2:2" x14ac:dyDescent="0.4">
      <c r="B228"/>
    </row>
    <row r="229" spans="2:2" x14ac:dyDescent="0.4">
      <c r="B229"/>
    </row>
    <row r="230" spans="2:2" x14ac:dyDescent="0.4">
      <c r="B230"/>
    </row>
    <row r="231" spans="2:2" x14ac:dyDescent="0.4">
      <c r="B231"/>
    </row>
    <row r="232" spans="2:2" x14ac:dyDescent="0.4">
      <c r="B232"/>
    </row>
    <row r="233" spans="2:2" x14ac:dyDescent="0.4">
      <c r="B233"/>
    </row>
    <row r="234" spans="2:2" x14ac:dyDescent="0.4">
      <c r="B234"/>
    </row>
    <row r="235" spans="2:2" x14ac:dyDescent="0.4">
      <c r="B235"/>
    </row>
    <row r="236" spans="2:2" x14ac:dyDescent="0.4">
      <c r="B236"/>
    </row>
    <row r="237" spans="2:2" x14ac:dyDescent="0.4">
      <c r="B237"/>
    </row>
    <row r="238" spans="2:2" x14ac:dyDescent="0.4">
      <c r="B238"/>
    </row>
    <row r="239" spans="2:2" x14ac:dyDescent="0.4">
      <c r="B239"/>
    </row>
    <row r="240" spans="2:2" x14ac:dyDescent="0.4">
      <c r="B240"/>
    </row>
    <row r="241" spans="2:2" x14ac:dyDescent="0.4">
      <c r="B241"/>
    </row>
    <row r="242" spans="2:2" x14ac:dyDescent="0.4">
      <c r="B242"/>
    </row>
    <row r="243" spans="2:2" x14ac:dyDescent="0.4">
      <c r="B243"/>
    </row>
    <row r="244" spans="2:2" x14ac:dyDescent="0.4">
      <c r="B244"/>
    </row>
    <row r="245" spans="2:2" x14ac:dyDescent="0.4">
      <c r="B245"/>
    </row>
    <row r="246" spans="2:2" x14ac:dyDescent="0.4">
      <c r="B246"/>
    </row>
    <row r="247" spans="2:2" x14ac:dyDescent="0.4">
      <c r="B247"/>
    </row>
    <row r="248" spans="2:2" x14ac:dyDescent="0.4">
      <c r="B248"/>
    </row>
    <row r="249" spans="2:2" x14ac:dyDescent="0.4">
      <c r="B249"/>
    </row>
    <row r="250" spans="2:2" x14ac:dyDescent="0.4">
      <c r="B250"/>
    </row>
    <row r="251" spans="2:2" x14ac:dyDescent="0.4">
      <c r="B251"/>
    </row>
    <row r="252" spans="2:2" x14ac:dyDescent="0.4">
      <c r="B252"/>
    </row>
    <row r="253" spans="2:2" x14ac:dyDescent="0.4">
      <c r="B253"/>
    </row>
    <row r="254" spans="2:2" x14ac:dyDescent="0.4">
      <c r="B254"/>
    </row>
    <row r="255" spans="2:2" x14ac:dyDescent="0.4">
      <c r="B255"/>
    </row>
    <row r="256" spans="2:2" x14ac:dyDescent="0.4">
      <c r="B256"/>
    </row>
    <row r="257" spans="2:2" x14ac:dyDescent="0.4">
      <c r="B257"/>
    </row>
    <row r="258" spans="2:2" x14ac:dyDescent="0.4">
      <c r="B258"/>
    </row>
    <row r="259" spans="2:2" x14ac:dyDescent="0.4">
      <c r="B259"/>
    </row>
    <row r="260" spans="2:2" x14ac:dyDescent="0.4">
      <c r="B260"/>
    </row>
    <row r="261" spans="2:2" x14ac:dyDescent="0.4">
      <c r="B261"/>
    </row>
    <row r="262" spans="2:2" x14ac:dyDescent="0.4">
      <c r="B262"/>
    </row>
    <row r="263" spans="2:2" x14ac:dyDescent="0.4">
      <c r="B263"/>
    </row>
    <row r="264" spans="2:2" x14ac:dyDescent="0.4">
      <c r="B264"/>
    </row>
    <row r="265" spans="2:2" x14ac:dyDescent="0.4">
      <c r="B265"/>
    </row>
    <row r="266" spans="2:2" x14ac:dyDescent="0.4">
      <c r="B266"/>
    </row>
    <row r="267" spans="2:2" x14ac:dyDescent="0.4">
      <c r="B267"/>
    </row>
    <row r="268" spans="2:2" x14ac:dyDescent="0.4">
      <c r="B268"/>
    </row>
    <row r="269" spans="2:2" x14ac:dyDescent="0.4">
      <c r="B269"/>
    </row>
    <row r="270" spans="2:2" x14ac:dyDescent="0.4">
      <c r="B270"/>
    </row>
    <row r="271" spans="2:2" x14ac:dyDescent="0.4">
      <c r="B271"/>
    </row>
    <row r="272" spans="2:2" x14ac:dyDescent="0.4">
      <c r="B272"/>
    </row>
    <row r="273" spans="2:2" x14ac:dyDescent="0.4">
      <c r="B273"/>
    </row>
    <row r="274" spans="2:2" x14ac:dyDescent="0.4">
      <c r="B274"/>
    </row>
    <row r="275" spans="2:2" x14ac:dyDescent="0.4">
      <c r="B275"/>
    </row>
    <row r="276" spans="2:2" x14ac:dyDescent="0.4">
      <c r="B276"/>
    </row>
    <row r="277" spans="2:2" x14ac:dyDescent="0.4">
      <c r="B277"/>
    </row>
    <row r="278" spans="2:2" x14ac:dyDescent="0.4">
      <c r="B278"/>
    </row>
    <row r="279" spans="2:2" x14ac:dyDescent="0.4">
      <c r="B279"/>
    </row>
    <row r="280" spans="2:2" x14ac:dyDescent="0.4">
      <c r="B280"/>
    </row>
    <row r="281" spans="2:2" x14ac:dyDescent="0.4">
      <c r="B281"/>
    </row>
    <row r="282" spans="2:2" x14ac:dyDescent="0.4">
      <c r="B282"/>
    </row>
    <row r="283" spans="2:2" x14ac:dyDescent="0.4">
      <c r="B283"/>
    </row>
    <row r="284" spans="2:2" x14ac:dyDescent="0.4">
      <c r="B284"/>
    </row>
    <row r="285" spans="2:2" x14ac:dyDescent="0.4">
      <c r="B285"/>
    </row>
    <row r="286" spans="2:2" x14ac:dyDescent="0.4">
      <c r="B286"/>
    </row>
    <row r="287" spans="2:2" x14ac:dyDescent="0.4">
      <c r="B287"/>
    </row>
    <row r="288" spans="2:2" x14ac:dyDescent="0.4">
      <c r="B288"/>
    </row>
    <row r="289" spans="2:2" x14ac:dyDescent="0.4">
      <c r="B289"/>
    </row>
    <row r="290" spans="2:2" x14ac:dyDescent="0.4">
      <c r="B290"/>
    </row>
    <row r="291" spans="2:2" x14ac:dyDescent="0.4">
      <c r="B291"/>
    </row>
    <row r="292" spans="2:2" x14ac:dyDescent="0.4">
      <c r="B292"/>
    </row>
    <row r="293" spans="2:2" x14ac:dyDescent="0.4">
      <c r="B293"/>
    </row>
    <row r="294" spans="2:2" x14ac:dyDescent="0.4">
      <c r="B294"/>
    </row>
    <row r="295" spans="2:2" x14ac:dyDescent="0.4">
      <c r="B295"/>
    </row>
    <row r="296" spans="2:2" x14ac:dyDescent="0.4">
      <c r="B296"/>
    </row>
    <row r="297" spans="2:2" x14ac:dyDescent="0.4">
      <c r="B297"/>
    </row>
    <row r="298" spans="2:2" x14ac:dyDescent="0.4">
      <c r="B298"/>
    </row>
    <row r="299" spans="2:2" x14ac:dyDescent="0.4">
      <c r="B299"/>
    </row>
    <row r="300" spans="2:2" x14ac:dyDescent="0.4">
      <c r="B300"/>
    </row>
    <row r="301" spans="2:2" x14ac:dyDescent="0.4">
      <c r="B301"/>
    </row>
    <row r="302" spans="2:2" x14ac:dyDescent="0.4">
      <c r="B302"/>
    </row>
    <row r="303" spans="2:2" x14ac:dyDescent="0.4">
      <c r="B303"/>
    </row>
    <row r="304" spans="2:2" x14ac:dyDescent="0.4">
      <c r="B304"/>
    </row>
    <row r="305" spans="2:2" x14ac:dyDescent="0.4">
      <c r="B305"/>
    </row>
    <row r="306" spans="2:2" x14ac:dyDescent="0.4">
      <c r="B306"/>
    </row>
    <row r="307" spans="2:2" x14ac:dyDescent="0.4">
      <c r="B307"/>
    </row>
    <row r="308" spans="2:2" x14ac:dyDescent="0.4">
      <c r="B308"/>
    </row>
    <row r="309" spans="2:2" x14ac:dyDescent="0.4">
      <c r="B309"/>
    </row>
    <row r="310" spans="2:2" x14ac:dyDescent="0.4">
      <c r="B310"/>
    </row>
    <row r="311" spans="2:2" x14ac:dyDescent="0.4">
      <c r="B311"/>
    </row>
    <row r="312" spans="2:2" x14ac:dyDescent="0.4">
      <c r="B312"/>
    </row>
    <row r="313" spans="2:2" x14ac:dyDescent="0.4">
      <c r="B313"/>
    </row>
    <row r="314" spans="2:2" x14ac:dyDescent="0.4">
      <c r="B314"/>
    </row>
    <row r="315" spans="2:2" x14ac:dyDescent="0.4">
      <c r="B315"/>
    </row>
    <row r="316" spans="2:2" x14ac:dyDescent="0.4">
      <c r="B316"/>
    </row>
    <row r="317" spans="2:2" x14ac:dyDescent="0.4">
      <c r="B317"/>
    </row>
    <row r="318" spans="2:2" x14ac:dyDescent="0.4">
      <c r="B318"/>
    </row>
    <row r="319" spans="2:2" x14ac:dyDescent="0.4">
      <c r="B319"/>
    </row>
    <row r="320" spans="2:2" x14ac:dyDescent="0.4">
      <c r="B320"/>
    </row>
    <row r="321" spans="2:2" x14ac:dyDescent="0.4">
      <c r="B321"/>
    </row>
    <row r="322" spans="2:2" x14ac:dyDescent="0.4">
      <c r="B322"/>
    </row>
    <row r="323" spans="2:2" x14ac:dyDescent="0.4">
      <c r="B323"/>
    </row>
    <row r="324" spans="2:2" x14ac:dyDescent="0.4">
      <c r="B324"/>
    </row>
    <row r="325" spans="2:2" x14ac:dyDescent="0.4">
      <c r="B325"/>
    </row>
    <row r="326" spans="2:2" x14ac:dyDescent="0.4">
      <c r="B326"/>
    </row>
    <row r="327" spans="2:2" x14ac:dyDescent="0.4">
      <c r="B327"/>
    </row>
    <row r="328" spans="2:2" x14ac:dyDescent="0.4">
      <c r="B328"/>
    </row>
    <row r="329" spans="2:2" x14ac:dyDescent="0.4">
      <c r="B329"/>
    </row>
    <row r="330" spans="2:2" x14ac:dyDescent="0.4">
      <c r="B330"/>
    </row>
    <row r="331" spans="2:2" x14ac:dyDescent="0.4">
      <c r="B331"/>
    </row>
    <row r="332" spans="2:2" x14ac:dyDescent="0.4">
      <c r="B332"/>
    </row>
    <row r="333" spans="2:2" x14ac:dyDescent="0.4">
      <c r="B333"/>
    </row>
    <row r="334" spans="2:2" x14ac:dyDescent="0.4">
      <c r="B334"/>
    </row>
    <row r="335" spans="2:2" x14ac:dyDescent="0.4">
      <c r="B335"/>
    </row>
    <row r="336" spans="2:2" x14ac:dyDescent="0.4">
      <c r="B336"/>
    </row>
    <row r="337" spans="2:2" x14ac:dyDescent="0.4">
      <c r="B337"/>
    </row>
    <row r="338" spans="2:2" x14ac:dyDescent="0.4">
      <c r="B338"/>
    </row>
    <row r="339" spans="2:2" x14ac:dyDescent="0.4">
      <c r="B339"/>
    </row>
    <row r="340" spans="2:2" x14ac:dyDescent="0.4">
      <c r="B340"/>
    </row>
    <row r="341" spans="2:2" x14ac:dyDescent="0.4">
      <c r="B341"/>
    </row>
    <row r="342" spans="2:2" x14ac:dyDescent="0.4">
      <c r="B342"/>
    </row>
    <row r="343" spans="2:2" x14ac:dyDescent="0.4">
      <c r="B343"/>
    </row>
    <row r="344" spans="2:2" x14ac:dyDescent="0.4">
      <c r="B344"/>
    </row>
    <row r="345" spans="2:2" x14ac:dyDescent="0.4">
      <c r="B345"/>
    </row>
    <row r="346" spans="2:2" x14ac:dyDescent="0.4">
      <c r="B346"/>
    </row>
    <row r="347" spans="2:2" x14ac:dyDescent="0.4">
      <c r="B347"/>
    </row>
    <row r="348" spans="2:2" x14ac:dyDescent="0.4">
      <c r="B348"/>
    </row>
    <row r="349" spans="2:2" x14ac:dyDescent="0.4">
      <c r="B349"/>
    </row>
    <row r="350" spans="2:2" x14ac:dyDescent="0.4">
      <c r="B350"/>
    </row>
    <row r="351" spans="2:2" x14ac:dyDescent="0.4">
      <c r="B351"/>
    </row>
    <row r="352" spans="2:2" x14ac:dyDescent="0.4">
      <c r="B352"/>
    </row>
    <row r="353" spans="2:2" x14ac:dyDescent="0.4">
      <c r="B353"/>
    </row>
    <row r="354" spans="2:2" x14ac:dyDescent="0.4">
      <c r="B354"/>
    </row>
    <row r="355" spans="2:2" x14ac:dyDescent="0.4">
      <c r="B355"/>
    </row>
    <row r="356" spans="2:2" x14ac:dyDescent="0.4">
      <c r="B356"/>
    </row>
    <row r="357" spans="2:2" x14ac:dyDescent="0.4">
      <c r="B357"/>
    </row>
    <row r="358" spans="2:2" x14ac:dyDescent="0.4">
      <c r="B358"/>
    </row>
    <row r="359" spans="2:2" x14ac:dyDescent="0.4">
      <c r="B359"/>
    </row>
    <row r="360" spans="2:2" x14ac:dyDescent="0.4">
      <c r="B360"/>
    </row>
    <row r="361" spans="2:2" x14ac:dyDescent="0.4">
      <c r="B361"/>
    </row>
    <row r="362" spans="2:2" x14ac:dyDescent="0.4">
      <c r="B362"/>
    </row>
    <row r="363" spans="2:2" x14ac:dyDescent="0.4">
      <c r="B363"/>
    </row>
    <row r="364" spans="2:2" x14ac:dyDescent="0.4">
      <c r="B364"/>
    </row>
    <row r="365" spans="2:2" x14ac:dyDescent="0.4">
      <c r="B365"/>
    </row>
    <row r="366" spans="2:2" x14ac:dyDescent="0.4">
      <c r="B366"/>
    </row>
    <row r="367" spans="2:2" x14ac:dyDescent="0.4">
      <c r="B367"/>
    </row>
    <row r="368" spans="2:2" x14ac:dyDescent="0.4">
      <c r="B368"/>
    </row>
    <row r="369" spans="2:2" x14ac:dyDescent="0.4">
      <c r="B369"/>
    </row>
    <row r="370" spans="2:2" x14ac:dyDescent="0.4">
      <c r="B370"/>
    </row>
    <row r="371" spans="2:2" x14ac:dyDescent="0.4">
      <c r="B371"/>
    </row>
    <row r="372" spans="2:2" x14ac:dyDescent="0.4">
      <c r="B372"/>
    </row>
    <row r="373" spans="2:2" x14ac:dyDescent="0.4">
      <c r="B373"/>
    </row>
    <row r="374" spans="2:2" x14ac:dyDescent="0.4">
      <c r="B374"/>
    </row>
    <row r="375" spans="2:2" x14ac:dyDescent="0.4">
      <c r="B375"/>
    </row>
    <row r="376" spans="2:2" x14ac:dyDescent="0.4">
      <c r="B376"/>
    </row>
    <row r="377" spans="2:2" x14ac:dyDescent="0.4">
      <c r="B377"/>
    </row>
    <row r="378" spans="2:2" x14ac:dyDescent="0.4">
      <c r="B378"/>
    </row>
    <row r="379" spans="2:2" x14ac:dyDescent="0.4">
      <c r="B379"/>
    </row>
    <row r="380" spans="2:2" x14ac:dyDescent="0.4">
      <c r="B380"/>
    </row>
    <row r="381" spans="2:2" x14ac:dyDescent="0.4">
      <c r="B381"/>
    </row>
    <row r="382" spans="2:2" x14ac:dyDescent="0.4">
      <c r="B382"/>
    </row>
    <row r="383" spans="2:2" x14ac:dyDescent="0.4">
      <c r="B383"/>
    </row>
    <row r="384" spans="2:2" x14ac:dyDescent="0.4">
      <c r="B384"/>
    </row>
    <row r="385" spans="2:2" x14ac:dyDescent="0.4">
      <c r="B385"/>
    </row>
    <row r="386" spans="2:2" x14ac:dyDescent="0.4">
      <c r="B386"/>
    </row>
    <row r="387" spans="2:2" x14ac:dyDescent="0.4">
      <c r="B387"/>
    </row>
    <row r="388" spans="2:2" x14ac:dyDescent="0.4">
      <c r="B388"/>
    </row>
    <row r="389" spans="2:2" x14ac:dyDescent="0.4">
      <c r="B389"/>
    </row>
    <row r="390" spans="2:2" x14ac:dyDescent="0.4">
      <c r="B390"/>
    </row>
    <row r="391" spans="2:2" x14ac:dyDescent="0.4">
      <c r="B391"/>
    </row>
    <row r="392" spans="2:2" x14ac:dyDescent="0.4">
      <c r="B392"/>
    </row>
    <row r="393" spans="2:2" x14ac:dyDescent="0.4">
      <c r="B393"/>
    </row>
    <row r="394" spans="2:2" x14ac:dyDescent="0.4">
      <c r="B394"/>
    </row>
    <row r="395" spans="2:2" x14ac:dyDescent="0.4">
      <c r="B395"/>
    </row>
    <row r="396" spans="2:2" x14ac:dyDescent="0.4">
      <c r="B396"/>
    </row>
    <row r="397" spans="2:2" x14ac:dyDescent="0.4">
      <c r="B397"/>
    </row>
    <row r="398" spans="2:2" x14ac:dyDescent="0.4">
      <c r="B398"/>
    </row>
    <row r="399" spans="2:2" x14ac:dyDescent="0.4">
      <c r="B399"/>
    </row>
    <row r="400" spans="2:2" x14ac:dyDescent="0.4">
      <c r="B400"/>
    </row>
    <row r="401" spans="2:2" x14ac:dyDescent="0.4">
      <c r="B401"/>
    </row>
    <row r="402" spans="2:2" x14ac:dyDescent="0.4">
      <c r="B402"/>
    </row>
    <row r="403" spans="2:2" x14ac:dyDescent="0.4">
      <c r="B403"/>
    </row>
    <row r="404" spans="2:2" x14ac:dyDescent="0.4">
      <c r="B404"/>
    </row>
    <row r="405" spans="2:2" x14ac:dyDescent="0.4">
      <c r="B405"/>
    </row>
    <row r="406" spans="2:2" x14ac:dyDescent="0.4">
      <c r="B406"/>
    </row>
    <row r="407" spans="2:2" x14ac:dyDescent="0.4">
      <c r="B407"/>
    </row>
    <row r="408" spans="2:2" x14ac:dyDescent="0.4">
      <c r="B408"/>
    </row>
    <row r="409" spans="2:2" x14ac:dyDescent="0.4">
      <c r="B409"/>
    </row>
    <row r="410" spans="2:2" x14ac:dyDescent="0.4">
      <c r="B410"/>
    </row>
    <row r="411" spans="2:2" x14ac:dyDescent="0.4">
      <c r="B411"/>
    </row>
    <row r="412" spans="2:2" x14ac:dyDescent="0.4">
      <c r="B412"/>
    </row>
    <row r="413" spans="2:2" x14ac:dyDescent="0.4">
      <c r="B413"/>
    </row>
    <row r="414" spans="2:2" x14ac:dyDescent="0.4">
      <c r="B414"/>
    </row>
    <row r="415" spans="2:2" x14ac:dyDescent="0.4">
      <c r="B415"/>
    </row>
    <row r="416" spans="2:2" x14ac:dyDescent="0.4">
      <c r="B416"/>
    </row>
    <row r="417" spans="2:2" x14ac:dyDescent="0.4">
      <c r="B417"/>
    </row>
    <row r="418" spans="2:2" x14ac:dyDescent="0.4">
      <c r="B418"/>
    </row>
    <row r="419" spans="2:2" x14ac:dyDescent="0.4">
      <c r="B419"/>
    </row>
    <row r="420" spans="2:2" x14ac:dyDescent="0.4">
      <c r="B420"/>
    </row>
    <row r="421" spans="2:2" x14ac:dyDescent="0.4">
      <c r="B421"/>
    </row>
    <row r="422" spans="2:2" x14ac:dyDescent="0.4">
      <c r="B422"/>
    </row>
    <row r="423" spans="2:2" x14ac:dyDescent="0.4">
      <c r="B423"/>
    </row>
    <row r="424" spans="2:2" x14ac:dyDescent="0.4">
      <c r="B424"/>
    </row>
    <row r="425" spans="2:2" x14ac:dyDescent="0.4">
      <c r="B425"/>
    </row>
    <row r="426" spans="2:2" x14ac:dyDescent="0.4">
      <c r="B426"/>
    </row>
    <row r="427" spans="2:2" x14ac:dyDescent="0.4">
      <c r="B427"/>
    </row>
    <row r="428" spans="2:2" x14ac:dyDescent="0.4">
      <c r="B428"/>
    </row>
    <row r="429" spans="2:2" x14ac:dyDescent="0.4">
      <c r="B429"/>
    </row>
    <row r="430" spans="2:2" x14ac:dyDescent="0.4">
      <c r="B430"/>
    </row>
    <row r="431" spans="2:2" x14ac:dyDescent="0.4">
      <c r="B431"/>
    </row>
    <row r="432" spans="2:2" x14ac:dyDescent="0.4">
      <c r="B432"/>
    </row>
    <row r="433" spans="2:2" x14ac:dyDescent="0.4">
      <c r="B433"/>
    </row>
    <row r="434" spans="2:2" x14ac:dyDescent="0.4">
      <c r="B434"/>
    </row>
    <row r="435" spans="2:2" x14ac:dyDescent="0.4">
      <c r="B435"/>
    </row>
    <row r="436" spans="2:2" x14ac:dyDescent="0.4">
      <c r="B436"/>
    </row>
    <row r="437" spans="2:2" x14ac:dyDescent="0.4">
      <c r="B437"/>
    </row>
    <row r="438" spans="2:2" x14ac:dyDescent="0.4">
      <c r="B438"/>
    </row>
    <row r="439" spans="2:2" x14ac:dyDescent="0.4">
      <c r="B439"/>
    </row>
    <row r="440" spans="2:2" x14ac:dyDescent="0.4">
      <c r="B440"/>
    </row>
    <row r="441" spans="2:2" x14ac:dyDescent="0.4">
      <c r="B441"/>
    </row>
    <row r="442" spans="2:2" x14ac:dyDescent="0.4">
      <c r="B442"/>
    </row>
    <row r="443" spans="2:2" x14ac:dyDescent="0.4">
      <c r="B443"/>
    </row>
    <row r="444" spans="2:2" x14ac:dyDescent="0.4">
      <c r="B444"/>
    </row>
    <row r="445" spans="2:2" x14ac:dyDescent="0.4">
      <c r="B445"/>
    </row>
    <row r="446" spans="2:2" x14ac:dyDescent="0.4">
      <c r="B446"/>
    </row>
    <row r="447" spans="2:2" x14ac:dyDescent="0.4">
      <c r="B447"/>
    </row>
    <row r="448" spans="2:2" x14ac:dyDescent="0.4">
      <c r="B448"/>
    </row>
    <row r="449" spans="2:2" x14ac:dyDescent="0.4">
      <c r="B449"/>
    </row>
    <row r="450" spans="2:2" x14ac:dyDescent="0.4">
      <c r="B450"/>
    </row>
    <row r="451" spans="2:2" x14ac:dyDescent="0.4">
      <c r="B451"/>
    </row>
    <row r="452" spans="2:2" x14ac:dyDescent="0.4">
      <c r="B452"/>
    </row>
    <row r="453" spans="2:2" x14ac:dyDescent="0.4">
      <c r="B453"/>
    </row>
    <row r="454" spans="2:2" x14ac:dyDescent="0.4">
      <c r="B454"/>
    </row>
    <row r="455" spans="2:2" x14ac:dyDescent="0.4">
      <c r="B455"/>
    </row>
    <row r="456" spans="2:2" x14ac:dyDescent="0.4">
      <c r="B456"/>
    </row>
    <row r="457" spans="2:2" x14ac:dyDescent="0.4">
      <c r="B457"/>
    </row>
    <row r="458" spans="2:2" x14ac:dyDescent="0.4">
      <c r="B458"/>
    </row>
    <row r="459" spans="2:2" x14ac:dyDescent="0.4">
      <c r="B459"/>
    </row>
    <row r="460" spans="2:2" x14ac:dyDescent="0.4">
      <c r="B460"/>
    </row>
    <row r="461" spans="2:2" x14ac:dyDescent="0.4">
      <c r="B461"/>
    </row>
    <row r="462" spans="2:2" x14ac:dyDescent="0.4">
      <c r="B462"/>
    </row>
    <row r="463" spans="2:2" x14ac:dyDescent="0.4">
      <c r="B463"/>
    </row>
    <row r="464" spans="2:2" x14ac:dyDescent="0.4">
      <c r="B464"/>
    </row>
    <row r="465" spans="2:2" x14ac:dyDescent="0.4">
      <c r="B465"/>
    </row>
    <row r="466" spans="2:2" x14ac:dyDescent="0.4">
      <c r="B466"/>
    </row>
    <row r="467" spans="2:2" x14ac:dyDescent="0.4">
      <c r="B467"/>
    </row>
    <row r="468" spans="2:2" x14ac:dyDescent="0.4">
      <c r="B468"/>
    </row>
    <row r="469" spans="2:2" x14ac:dyDescent="0.4">
      <c r="B469"/>
    </row>
    <row r="470" spans="2:2" x14ac:dyDescent="0.4">
      <c r="B470"/>
    </row>
    <row r="471" spans="2:2" x14ac:dyDescent="0.4">
      <c r="B471"/>
    </row>
    <row r="472" spans="2:2" x14ac:dyDescent="0.4">
      <c r="B472"/>
    </row>
    <row r="473" spans="2:2" x14ac:dyDescent="0.4">
      <c r="B473"/>
    </row>
    <row r="474" spans="2:2" x14ac:dyDescent="0.4">
      <c r="B474"/>
    </row>
    <row r="475" spans="2:2" x14ac:dyDescent="0.4">
      <c r="B475"/>
    </row>
    <row r="476" spans="2:2" x14ac:dyDescent="0.4">
      <c r="B476"/>
    </row>
    <row r="477" spans="2:2" x14ac:dyDescent="0.4">
      <c r="B477"/>
    </row>
    <row r="478" spans="2:2" x14ac:dyDescent="0.4">
      <c r="B478"/>
    </row>
    <row r="479" spans="2:2" x14ac:dyDescent="0.4">
      <c r="B479"/>
    </row>
    <row r="480" spans="2:2" x14ac:dyDescent="0.4">
      <c r="B480"/>
    </row>
    <row r="481" spans="2:2" x14ac:dyDescent="0.4">
      <c r="B481"/>
    </row>
    <row r="482" spans="2:2" x14ac:dyDescent="0.4">
      <c r="B482"/>
    </row>
    <row r="483" spans="2:2" x14ac:dyDescent="0.4">
      <c r="B483"/>
    </row>
    <row r="484" spans="2:2" x14ac:dyDescent="0.4">
      <c r="B484"/>
    </row>
    <row r="485" spans="2:2" x14ac:dyDescent="0.4">
      <c r="B485"/>
    </row>
    <row r="486" spans="2:2" x14ac:dyDescent="0.4">
      <c r="B486"/>
    </row>
    <row r="487" spans="2:2" x14ac:dyDescent="0.4">
      <c r="B487"/>
    </row>
    <row r="488" spans="2:2" x14ac:dyDescent="0.4">
      <c r="B488"/>
    </row>
    <row r="489" spans="2:2" x14ac:dyDescent="0.4">
      <c r="B489"/>
    </row>
    <row r="490" spans="2:2" x14ac:dyDescent="0.4">
      <c r="B490"/>
    </row>
    <row r="491" spans="2:2" x14ac:dyDescent="0.4">
      <c r="B491"/>
    </row>
    <row r="492" spans="2:2" x14ac:dyDescent="0.4">
      <c r="B492"/>
    </row>
    <row r="493" spans="2:2" x14ac:dyDescent="0.4">
      <c r="B493"/>
    </row>
    <row r="494" spans="2:2" x14ac:dyDescent="0.4">
      <c r="B494"/>
    </row>
    <row r="495" spans="2:2" x14ac:dyDescent="0.4">
      <c r="B495"/>
    </row>
    <row r="496" spans="2:2" x14ac:dyDescent="0.4">
      <c r="B496"/>
    </row>
    <row r="497" spans="2:2" x14ac:dyDescent="0.4">
      <c r="B497"/>
    </row>
    <row r="498" spans="2:2" x14ac:dyDescent="0.4">
      <c r="B498"/>
    </row>
    <row r="499" spans="2:2" x14ac:dyDescent="0.4">
      <c r="B499"/>
    </row>
    <row r="500" spans="2:2" x14ac:dyDescent="0.4">
      <c r="B500"/>
    </row>
    <row r="501" spans="2:2" x14ac:dyDescent="0.4">
      <c r="B501"/>
    </row>
    <row r="502" spans="2:2" x14ac:dyDescent="0.4">
      <c r="B502"/>
    </row>
    <row r="503" spans="2:2" x14ac:dyDescent="0.4">
      <c r="B503"/>
    </row>
    <row r="504" spans="2:2" x14ac:dyDescent="0.4">
      <c r="B504"/>
    </row>
    <row r="505" spans="2:2" x14ac:dyDescent="0.4">
      <c r="B505"/>
    </row>
    <row r="506" spans="2:2" x14ac:dyDescent="0.4">
      <c r="B506"/>
    </row>
    <row r="507" spans="2:2" x14ac:dyDescent="0.4">
      <c r="B507"/>
    </row>
    <row r="508" spans="2:2" x14ac:dyDescent="0.4">
      <c r="B508"/>
    </row>
    <row r="509" spans="2:2" x14ac:dyDescent="0.4">
      <c r="B509"/>
    </row>
    <row r="510" spans="2:2" x14ac:dyDescent="0.4">
      <c r="B510"/>
    </row>
    <row r="511" spans="2:2" x14ac:dyDescent="0.4">
      <c r="B511"/>
    </row>
    <row r="512" spans="2:2" x14ac:dyDescent="0.4">
      <c r="B512"/>
    </row>
    <row r="513" spans="2:2" x14ac:dyDescent="0.4">
      <c r="B513"/>
    </row>
    <row r="514" spans="2:2" x14ac:dyDescent="0.4">
      <c r="B514"/>
    </row>
    <row r="515" spans="2:2" x14ac:dyDescent="0.4">
      <c r="B515"/>
    </row>
    <row r="516" spans="2:2" x14ac:dyDescent="0.4">
      <c r="B516"/>
    </row>
    <row r="517" spans="2:2" x14ac:dyDescent="0.4">
      <c r="B517"/>
    </row>
    <row r="518" spans="2:2" x14ac:dyDescent="0.4">
      <c r="B518"/>
    </row>
    <row r="519" spans="2:2" x14ac:dyDescent="0.4">
      <c r="B519"/>
    </row>
    <row r="520" spans="2:2" x14ac:dyDescent="0.4">
      <c r="B520"/>
    </row>
    <row r="521" spans="2:2" x14ac:dyDescent="0.4">
      <c r="B521"/>
    </row>
    <row r="522" spans="2:2" x14ac:dyDescent="0.4">
      <c r="B522"/>
    </row>
    <row r="523" spans="2:2" x14ac:dyDescent="0.4">
      <c r="B523"/>
    </row>
    <row r="524" spans="2:2" x14ac:dyDescent="0.4">
      <c r="B524"/>
    </row>
    <row r="525" spans="2:2" x14ac:dyDescent="0.4">
      <c r="B525"/>
    </row>
    <row r="526" spans="2:2" x14ac:dyDescent="0.4">
      <c r="B526"/>
    </row>
    <row r="527" spans="2:2" x14ac:dyDescent="0.4">
      <c r="B527"/>
    </row>
    <row r="528" spans="2:2" x14ac:dyDescent="0.4">
      <c r="B528"/>
    </row>
    <row r="529" spans="2:2" x14ac:dyDescent="0.4">
      <c r="B529"/>
    </row>
    <row r="530" spans="2:2" x14ac:dyDescent="0.4">
      <c r="B530"/>
    </row>
    <row r="531" spans="2:2" x14ac:dyDescent="0.4">
      <c r="B531"/>
    </row>
    <row r="532" spans="2:2" x14ac:dyDescent="0.4">
      <c r="B532"/>
    </row>
    <row r="533" spans="2:2" x14ac:dyDescent="0.4">
      <c r="B533"/>
    </row>
    <row r="534" spans="2:2" x14ac:dyDescent="0.4">
      <c r="B534"/>
    </row>
    <row r="535" spans="2:2" x14ac:dyDescent="0.4">
      <c r="B535"/>
    </row>
    <row r="536" spans="2:2" x14ac:dyDescent="0.4">
      <c r="B536"/>
    </row>
    <row r="537" spans="2:2" x14ac:dyDescent="0.4">
      <c r="B537"/>
    </row>
    <row r="538" spans="2:2" x14ac:dyDescent="0.4">
      <c r="B538"/>
    </row>
    <row r="539" spans="2:2" x14ac:dyDescent="0.4">
      <c r="B539"/>
    </row>
    <row r="540" spans="2:2" x14ac:dyDescent="0.4">
      <c r="B540"/>
    </row>
    <row r="541" spans="2:2" x14ac:dyDescent="0.4">
      <c r="B541"/>
    </row>
    <row r="542" spans="2:2" x14ac:dyDescent="0.4">
      <c r="B542"/>
    </row>
    <row r="543" spans="2:2" x14ac:dyDescent="0.4">
      <c r="B543"/>
    </row>
    <row r="544" spans="2:2" x14ac:dyDescent="0.4">
      <c r="B544"/>
    </row>
    <row r="545" spans="2:2" x14ac:dyDescent="0.4">
      <c r="B545"/>
    </row>
    <row r="546" spans="2:2" x14ac:dyDescent="0.4">
      <c r="B546"/>
    </row>
    <row r="547" spans="2:2" x14ac:dyDescent="0.4">
      <c r="B547"/>
    </row>
    <row r="548" spans="2:2" x14ac:dyDescent="0.4">
      <c r="B548"/>
    </row>
    <row r="549" spans="2:2" x14ac:dyDescent="0.4">
      <c r="B549"/>
    </row>
    <row r="550" spans="2:2" x14ac:dyDescent="0.4">
      <c r="B550"/>
    </row>
    <row r="551" spans="2:2" x14ac:dyDescent="0.4">
      <c r="B551"/>
    </row>
    <row r="552" spans="2:2" x14ac:dyDescent="0.4">
      <c r="B552"/>
    </row>
    <row r="553" spans="2:2" x14ac:dyDescent="0.4">
      <c r="B553"/>
    </row>
    <row r="554" spans="2:2" x14ac:dyDescent="0.4">
      <c r="B554"/>
    </row>
    <row r="555" spans="2:2" x14ac:dyDescent="0.4">
      <c r="B555"/>
    </row>
    <row r="556" spans="2:2" x14ac:dyDescent="0.4">
      <c r="B556"/>
    </row>
    <row r="557" spans="2:2" x14ac:dyDescent="0.4">
      <c r="B557"/>
    </row>
    <row r="558" spans="2:2" x14ac:dyDescent="0.4">
      <c r="B558"/>
    </row>
    <row r="559" spans="2:2" x14ac:dyDescent="0.4">
      <c r="B559"/>
    </row>
    <row r="560" spans="2:2" x14ac:dyDescent="0.4">
      <c r="B560"/>
    </row>
    <row r="561" spans="2:2" x14ac:dyDescent="0.4">
      <c r="B561"/>
    </row>
    <row r="562" spans="2:2" x14ac:dyDescent="0.4">
      <c r="B562"/>
    </row>
    <row r="563" spans="2:2" x14ac:dyDescent="0.4">
      <c r="B563"/>
    </row>
    <row r="564" spans="2:2" x14ac:dyDescent="0.4">
      <c r="B564"/>
    </row>
    <row r="565" spans="2:2" x14ac:dyDescent="0.4">
      <c r="B565"/>
    </row>
    <row r="566" spans="2:2" x14ac:dyDescent="0.4">
      <c r="B566"/>
    </row>
    <row r="567" spans="2:2" x14ac:dyDescent="0.4">
      <c r="B567"/>
    </row>
    <row r="568" spans="2:2" x14ac:dyDescent="0.4">
      <c r="B568"/>
    </row>
    <row r="569" spans="2:2" x14ac:dyDescent="0.4">
      <c r="B569"/>
    </row>
    <row r="570" spans="2:2" x14ac:dyDescent="0.4">
      <c r="B570"/>
    </row>
    <row r="571" spans="2:2" x14ac:dyDescent="0.4">
      <c r="B571"/>
    </row>
    <row r="572" spans="2:2" x14ac:dyDescent="0.4">
      <c r="B572"/>
    </row>
    <row r="573" spans="2:2" x14ac:dyDescent="0.4">
      <c r="B573"/>
    </row>
    <row r="574" spans="2:2" x14ac:dyDescent="0.4">
      <c r="B574"/>
    </row>
    <row r="575" spans="2:2" x14ac:dyDescent="0.4">
      <c r="B575"/>
    </row>
    <row r="576" spans="2:2" x14ac:dyDescent="0.4">
      <c r="B576"/>
    </row>
    <row r="577" spans="2:2" x14ac:dyDescent="0.4">
      <c r="B577"/>
    </row>
    <row r="578" spans="2:2" x14ac:dyDescent="0.4">
      <c r="B578"/>
    </row>
    <row r="579" spans="2:2" x14ac:dyDescent="0.4">
      <c r="B579"/>
    </row>
    <row r="580" spans="2:2" x14ac:dyDescent="0.4">
      <c r="B580"/>
    </row>
    <row r="581" spans="2:2" x14ac:dyDescent="0.4">
      <c r="B581"/>
    </row>
    <row r="582" spans="2:2" x14ac:dyDescent="0.4">
      <c r="B582"/>
    </row>
    <row r="583" spans="2:2" x14ac:dyDescent="0.4">
      <c r="B583"/>
    </row>
    <row r="584" spans="2:2" x14ac:dyDescent="0.4">
      <c r="B584"/>
    </row>
    <row r="585" spans="2:2" x14ac:dyDescent="0.4">
      <c r="B585"/>
    </row>
    <row r="586" spans="2:2" x14ac:dyDescent="0.4">
      <c r="B586"/>
    </row>
    <row r="587" spans="2:2" x14ac:dyDescent="0.4">
      <c r="B587"/>
    </row>
    <row r="588" spans="2:2" x14ac:dyDescent="0.4">
      <c r="B588"/>
    </row>
    <row r="589" spans="2:2" x14ac:dyDescent="0.4">
      <c r="B589"/>
    </row>
    <row r="590" spans="2:2" x14ac:dyDescent="0.4">
      <c r="B590"/>
    </row>
    <row r="591" spans="2:2" x14ac:dyDescent="0.4">
      <c r="B591"/>
    </row>
    <row r="592" spans="2:2" x14ac:dyDescent="0.4">
      <c r="B592"/>
    </row>
    <row r="593" spans="2:2" x14ac:dyDescent="0.4">
      <c r="B593"/>
    </row>
    <row r="594" spans="2:2" x14ac:dyDescent="0.4">
      <c r="B594"/>
    </row>
    <row r="595" spans="2:2" x14ac:dyDescent="0.4">
      <c r="B595"/>
    </row>
    <row r="596" spans="2:2" x14ac:dyDescent="0.4">
      <c r="B596"/>
    </row>
    <row r="597" spans="2:2" x14ac:dyDescent="0.4">
      <c r="B597"/>
    </row>
    <row r="598" spans="2:2" x14ac:dyDescent="0.4">
      <c r="B598"/>
    </row>
    <row r="599" spans="2:2" x14ac:dyDescent="0.4">
      <c r="B599"/>
    </row>
    <row r="600" spans="2:2" x14ac:dyDescent="0.4">
      <c r="B600"/>
    </row>
    <row r="601" spans="2:2" x14ac:dyDescent="0.4">
      <c r="B601"/>
    </row>
    <row r="602" spans="2:2" x14ac:dyDescent="0.4">
      <c r="B602"/>
    </row>
    <row r="603" spans="2:2" x14ac:dyDescent="0.4">
      <c r="B603"/>
    </row>
    <row r="604" spans="2:2" x14ac:dyDescent="0.4">
      <c r="B604"/>
    </row>
    <row r="605" spans="2:2" x14ac:dyDescent="0.4">
      <c r="B605"/>
    </row>
    <row r="606" spans="2:2" x14ac:dyDescent="0.4">
      <c r="B606"/>
    </row>
    <row r="607" spans="2:2" x14ac:dyDescent="0.4">
      <c r="B607"/>
    </row>
    <row r="608" spans="2:2" x14ac:dyDescent="0.4">
      <c r="B608"/>
    </row>
    <row r="609" spans="2:2" x14ac:dyDescent="0.4">
      <c r="B609"/>
    </row>
    <row r="610" spans="2:2" x14ac:dyDescent="0.4">
      <c r="B610"/>
    </row>
    <row r="611" spans="2:2" x14ac:dyDescent="0.4">
      <c r="B611"/>
    </row>
    <row r="612" spans="2:2" x14ac:dyDescent="0.4">
      <c r="B612"/>
    </row>
    <row r="613" spans="2:2" x14ac:dyDescent="0.4">
      <c r="B613"/>
    </row>
    <row r="614" spans="2:2" x14ac:dyDescent="0.4">
      <c r="B614"/>
    </row>
    <row r="615" spans="2:2" x14ac:dyDescent="0.4">
      <c r="B615"/>
    </row>
    <row r="616" spans="2:2" x14ac:dyDescent="0.4">
      <c r="B616"/>
    </row>
    <row r="617" spans="2:2" x14ac:dyDescent="0.4">
      <c r="B617"/>
    </row>
    <row r="618" spans="2:2" x14ac:dyDescent="0.4">
      <c r="B618"/>
    </row>
    <row r="619" spans="2:2" x14ac:dyDescent="0.4">
      <c r="B619"/>
    </row>
    <row r="620" spans="2:2" x14ac:dyDescent="0.4">
      <c r="B620"/>
    </row>
    <row r="621" spans="2:2" x14ac:dyDescent="0.4">
      <c r="B621"/>
    </row>
    <row r="622" spans="2:2" x14ac:dyDescent="0.4">
      <c r="B622"/>
    </row>
    <row r="623" spans="2:2" x14ac:dyDescent="0.4">
      <c r="B623"/>
    </row>
    <row r="624" spans="2:2" x14ac:dyDescent="0.4">
      <c r="B624"/>
    </row>
    <row r="625" spans="2:2" x14ac:dyDescent="0.4">
      <c r="B625"/>
    </row>
    <row r="626" spans="2:2" x14ac:dyDescent="0.4">
      <c r="B626"/>
    </row>
    <row r="627" spans="2:2" x14ac:dyDescent="0.4">
      <c r="B627"/>
    </row>
    <row r="628" spans="2:2" x14ac:dyDescent="0.4">
      <c r="B628"/>
    </row>
    <row r="629" spans="2:2" x14ac:dyDescent="0.4">
      <c r="B629"/>
    </row>
    <row r="630" spans="2:2" x14ac:dyDescent="0.4">
      <c r="B630"/>
    </row>
    <row r="631" spans="2:2" x14ac:dyDescent="0.4">
      <c r="B631"/>
    </row>
    <row r="632" spans="2:2" x14ac:dyDescent="0.4">
      <c r="B632"/>
    </row>
    <row r="633" spans="2:2" x14ac:dyDescent="0.4">
      <c r="B633"/>
    </row>
    <row r="634" spans="2:2" x14ac:dyDescent="0.4">
      <c r="B634"/>
    </row>
    <row r="635" spans="2:2" x14ac:dyDescent="0.4">
      <c r="B635"/>
    </row>
    <row r="636" spans="2:2" x14ac:dyDescent="0.4">
      <c r="B636"/>
    </row>
    <row r="637" spans="2:2" x14ac:dyDescent="0.4">
      <c r="B637"/>
    </row>
    <row r="638" spans="2:2" x14ac:dyDescent="0.4">
      <c r="B638"/>
    </row>
    <row r="639" spans="2:2" x14ac:dyDescent="0.4">
      <c r="B639"/>
    </row>
    <row r="640" spans="2:2" x14ac:dyDescent="0.4">
      <c r="B640"/>
    </row>
    <row r="641" spans="2:2" x14ac:dyDescent="0.4">
      <c r="B641"/>
    </row>
    <row r="642" spans="2:2" x14ac:dyDescent="0.4">
      <c r="B642"/>
    </row>
    <row r="643" spans="2:2" x14ac:dyDescent="0.4">
      <c r="B643"/>
    </row>
    <row r="644" spans="2:2" x14ac:dyDescent="0.4">
      <c r="B644"/>
    </row>
    <row r="645" spans="2:2" x14ac:dyDescent="0.4">
      <c r="B645"/>
    </row>
    <row r="646" spans="2:2" x14ac:dyDescent="0.4">
      <c r="B646"/>
    </row>
    <row r="647" spans="2:2" x14ac:dyDescent="0.4">
      <c r="B647"/>
    </row>
    <row r="648" spans="2:2" x14ac:dyDescent="0.4">
      <c r="B648"/>
    </row>
    <row r="649" spans="2:2" x14ac:dyDescent="0.4">
      <c r="B649"/>
    </row>
    <row r="650" spans="2:2" x14ac:dyDescent="0.4">
      <c r="B650"/>
    </row>
    <row r="651" spans="2:2" x14ac:dyDescent="0.4">
      <c r="B651"/>
    </row>
    <row r="652" spans="2:2" x14ac:dyDescent="0.4">
      <c r="B652"/>
    </row>
    <row r="653" spans="2:2" x14ac:dyDescent="0.4">
      <c r="B653"/>
    </row>
    <row r="654" spans="2:2" x14ac:dyDescent="0.4">
      <c r="B654"/>
    </row>
    <row r="655" spans="2:2" x14ac:dyDescent="0.4">
      <c r="B655"/>
    </row>
    <row r="656" spans="2:2" x14ac:dyDescent="0.4">
      <c r="B656"/>
    </row>
    <row r="657" spans="2:2" x14ac:dyDescent="0.4">
      <c r="B657"/>
    </row>
    <row r="658" spans="2:2" x14ac:dyDescent="0.4">
      <c r="B658"/>
    </row>
    <row r="659" spans="2:2" x14ac:dyDescent="0.4">
      <c r="B659"/>
    </row>
    <row r="660" spans="2:2" x14ac:dyDescent="0.4">
      <c r="B660"/>
    </row>
    <row r="661" spans="2:2" x14ac:dyDescent="0.4">
      <c r="B661"/>
    </row>
    <row r="662" spans="2:2" x14ac:dyDescent="0.4">
      <c r="B662"/>
    </row>
    <row r="663" spans="2:2" x14ac:dyDescent="0.4">
      <c r="B663"/>
    </row>
    <row r="664" spans="2:2" x14ac:dyDescent="0.4">
      <c r="B664"/>
    </row>
    <row r="665" spans="2:2" x14ac:dyDescent="0.4">
      <c r="B665"/>
    </row>
    <row r="666" spans="2:2" x14ac:dyDescent="0.4">
      <c r="B666"/>
    </row>
    <row r="667" spans="2:2" x14ac:dyDescent="0.4">
      <c r="B667"/>
    </row>
    <row r="668" spans="2:2" x14ac:dyDescent="0.4">
      <c r="B668"/>
    </row>
    <row r="669" spans="2:2" x14ac:dyDescent="0.4">
      <c r="B669"/>
    </row>
    <row r="670" spans="2:2" x14ac:dyDescent="0.4">
      <c r="B670"/>
    </row>
    <row r="671" spans="2:2" x14ac:dyDescent="0.4">
      <c r="B671"/>
    </row>
    <row r="672" spans="2:2" x14ac:dyDescent="0.4">
      <c r="B672"/>
    </row>
    <row r="673" spans="2:2" x14ac:dyDescent="0.4">
      <c r="B673"/>
    </row>
    <row r="674" spans="2:2" x14ac:dyDescent="0.4">
      <c r="B674"/>
    </row>
    <row r="675" spans="2:2" x14ac:dyDescent="0.4">
      <c r="B675"/>
    </row>
    <row r="676" spans="2:2" x14ac:dyDescent="0.4">
      <c r="B676"/>
    </row>
    <row r="677" spans="2:2" x14ac:dyDescent="0.4">
      <c r="B677"/>
    </row>
    <row r="678" spans="2:2" x14ac:dyDescent="0.4">
      <c r="B678"/>
    </row>
    <row r="679" spans="2:2" x14ac:dyDescent="0.4">
      <c r="B679"/>
    </row>
    <row r="680" spans="2:2" x14ac:dyDescent="0.4">
      <c r="B680"/>
    </row>
    <row r="681" spans="2:2" x14ac:dyDescent="0.4">
      <c r="B681"/>
    </row>
    <row r="682" spans="2:2" x14ac:dyDescent="0.4">
      <c r="B682"/>
    </row>
    <row r="683" spans="2:2" x14ac:dyDescent="0.4">
      <c r="B683"/>
    </row>
    <row r="684" spans="2:2" x14ac:dyDescent="0.4">
      <c r="B684"/>
    </row>
    <row r="685" spans="2:2" x14ac:dyDescent="0.4">
      <c r="B685"/>
    </row>
    <row r="686" spans="2:2" x14ac:dyDescent="0.4">
      <c r="B686"/>
    </row>
    <row r="687" spans="2:2" x14ac:dyDescent="0.4">
      <c r="B687"/>
    </row>
    <row r="688" spans="2:2" x14ac:dyDescent="0.4">
      <c r="B688"/>
    </row>
    <row r="689" spans="2:2" x14ac:dyDescent="0.4">
      <c r="B689"/>
    </row>
    <row r="690" spans="2:2" x14ac:dyDescent="0.4">
      <c r="B690"/>
    </row>
    <row r="691" spans="2:2" x14ac:dyDescent="0.4">
      <c r="B691"/>
    </row>
    <row r="692" spans="2:2" x14ac:dyDescent="0.4">
      <c r="B692"/>
    </row>
    <row r="693" spans="2:2" x14ac:dyDescent="0.4">
      <c r="B693"/>
    </row>
    <row r="694" spans="2:2" x14ac:dyDescent="0.4">
      <c r="B694"/>
    </row>
    <row r="695" spans="2:2" x14ac:dyDescent="0.4">
      <c r="B695"/>
    </row>
    <row r="696" spans="2:2" x14ac:dyDescent="0.4">
      <c r="B696"/>
    </row>
    <row r="697" spans="2:2" x14ac:dyDescent="0.4">
      <c r="B697"/>
    </row>
    <row r="698" spans="2:2" x14ac:dyDescent="0.4">
      <c r="B698"/>
    </row>
    <row r="699" spans="2:2" x14ac:dyDescent="0.4">
      <c r="B699"/>
    </row>
    <row r="700" spans="2:2" x14ac:dyDescent="0.4">
      <c r="B700"/>
    </row>
    <row r="701" spans="2:2" x14ac:dyDescent="0.4">
      <c r="B701"/>
    </row>
    <row r="702" spans="2:2" x14ac:dyDescent="0.4">
      <c r="B702"/>
    </row>
    <row r="703" spans="2:2" x14ac:dyDescent="0.4">
      <c r="B703"/>
    </row>
    <row r="704" spans="2:2" x14ac:dyDescent="0.4">
      <c r="B704"/>
    </row>
    <row r="705" spans="2:2" x14ac:dyDescent="0.4">
      <c r="B705"/>
    </row>
    <row r="706" spans="2:2" x14ac:dyDescent="0.4">
      <c r="B706"/>
    </row>
    <row r="707" spans="2:2" x14ac:dyDescent="0.4">
      <c r="B707"/>
    </row>
    <row r="708" spans="2:2" x14ac:dyDescent="0.4">
      <c r="B708"/>
    </row>
    <row r="709" spans="2:2" x14ac:dyDescent="0.4">
      <c r="B709"/>
    </row>
    <row r="710" spans="2:2" x14ac:dyDescent="0.4">
      <c r="B710"/>
    </row>
    <row r="711" spans="2:2" x14ac:dyDescent="0.4">
      <c r="B711"/>
    </row>
    <row r="712" spans="2:2" x14ac:dyDescent="0.4">
      <c r="B712"/>
    </row>
    <row r="713" spans="2:2" x14ac:dyDescent="0.4">
      <c r="B713"/>
    </row>
    <row r="714" spans="2:2" x14ac:dyDescent="0.4">
      <c r="B714"/>
    </row>
    <row r="715" spans="2:2" x14ac:dyDescent="0.4">
      <c r="B715"/>
    </row>
    <row r="716" spans="2:2" x14ac:dyDescent="0.4">
      <c r="B716"/>
    </row>
    <row r="717" spans="2:2" x14ac:dyDescent="0.4">
      <c r="B717"/>
    </row>
    <row r="718" spans="2:2" x14ac:dyDescent="0.4">
      <c r="B718"/>
    </row>
    <row r="719" spans="2:2" x14ac:dyDescent="0.4">
      <c r="B719"/>
    </row>
    <row r="720" spans="2:2" x14ac:dyDescent="0.4">
      <c r="B720"/>
    </row>
    <row r="721" spans="2:2" x14ac:dyDescent="0.4">
      <c r="B721"/>
    </row>
    <row r="722" spans="2:2" x14ac:dyDescent="0.4">
      <c r="B722"/>
    </row>
    <row r="723" spans="2:2" x14ac:dyDescent="0.4">
      <c r="B723"/>
    </row>
    <row r="724" spans="2:2" x14ac:dyDescent="0.4">
      <c r="B724"/>
    </row>
    <row r="725" spans="2:2" x14ac:dyDescent="0.4">
      <c r="B725"/>
    </row>
    <row r="726" spans="2:2" x14ac:dyDescent="0.4">
      <c r="B726"/>
    </row>
    <row r="727" spans="2:2" x14ac:dyDescent="0.4">
      <c r="B727"/>
    </row>
    <row r="728" spans="2:2" x14ac:dyDescent="0.4">
      <c r="B728"/>
    </row>
    <row r="729" spans="2:2" x14ac:dyDescent="0.4">
      <c r="B729"/>
    </row>
    <row r="730" spans="2:2" x14ac:dyDescent="0.4">
      <c r="B730"/>
    </row>
    <row r="731" spans="2:2" x14ac:dyDescent="0.4">
      <c r="B731"/>
    </row>
    <row r="732" spans="2:2" x14ac:dyDescent="0.4">
      <c r="B732"/>
    </row>
    <row r="733" spans="2:2" x14ac:dyDescent="0.4">
      <c r="B733"/>
    </row>
    <row r="734" spans="2:2" x14ac:dyDescent="0.4">
      <c r="B734"/>
    </row>
    <row r="735" spans="2:2" x14ac:dyDescent="0.4">
      <c r="B735"/>
    </row>
    <row r="736" spans="2:2" x14ac:dyDescent="0.4">
      <c r="B736"/>
    </row>
    <row r="737" spans="2:2" x14ac:dyDescent="0.4">
      <c r="B737"/>
    </row>
    <row r="738" spans="2:2" x14ac:dyDescent="0.4">
      <c r="B738"/>
    </row>
    <row r="739" spans="2:2" x14ac:dyDescent="0.4">
      <c r="B739"/>
    </row>
    <row r="740" spans="2:2" x14ac:dyDescent="0.4">
      <c r="B740"/>
    </row>
    <row r="741" spans="2:2" x14ac:dyDescent="0.4">
      <c r="B741"/>
    </row>
    <row r="742" spans="2:2" x14ac:dyDescent="0.4">
      <c r="B742"/>
    </row>
    <row r="743" spans="2:2" x14ac:dyDescent="0.4">
      <c r="B743"/>
    </row>
    <row r="744" spans="2:2" x14ac:dyDescent="0.4">
      <c r="B744"/>
    </row>
    <row r="745" spans="2:2" x14ac:dyDescent="0.4">
      <c r="B745"/>
    </row>
    <row r="746" spans="2:2" x14ac:dyDescent="0.4">
      <c r="B746"/>
    </row>
    <row r="747" spans="2:2" x14ac:dyDescent="0.4">
      <c r="B747"/>
    </row>
    <row r="748" spans="2:2" x14ac:dyDescent="0.4">
      <c r="B748"/>
    </row>
    <row r="749" spans="2:2" x14ac:dyDescent="0.4">
      <c r="B749"/>
    </row>
    <row r="750" spans="2:2" x14ac:dyDescent="0.4">
      <c r="B750"/>
    </row>
    <row r="751" spans="2:2" x14ac:dyDescent="0.4">
      <c r="B751"/>
    </row>
    <row r="752" spans="2:2" x14ac:dyDescent="0.4">
      <c r="B752"/>
    </row>
    <row r="753" spans="2:2" x14ac:dyDescent="0.4">
      <c r="B753"/>
    </row>
    <row r="754" spans="2:2" x14ac:dyDescent="0.4">
      <c r="B754"/>
    </row>
    <row r="755" spans="2:2" x14ac:dyDescent="0.4">
      <c r="B755"/>
    </row>
    <row r="756" spans="2:2" x14ac:dyDescent="0.4">
      <c r="B756"/>
    </row>
    <row r="757" spans="2:2" x14ac:dyDescent="0.4">
      <c r="B757"/>
    </row>
    <row r="758" spans="2:2" x14ac:dyDescent="0.4">
      <c r="B758"/>
    </row>
    <row r="759" spans="2:2" x14ac:dyDescent="0.4">
      <c r="B759"/>
    </row>
    <row r="760" spans="2:2" x14ac:dyDescent="0.4">
      <c r="B760"/>
    </row>
    <row r="761" spans="2:2" x14ac:dyDescent="0.4">
      <c r="B761"/>
    </row>
    <row r="762" spans="2:2" x14ac:dyDescent="0.4">
      <c r="B762"/>
    </row>
    <row r="763" spans="2:2" x14ac:dyDescent="0.4">
      <c r="B763"/>
    </row>
    <row r="764" spans="2:2" x14ac:dyDescent="0.4">
      <c r="B764"/>
    </row>
    <row r="765" spans="2:2" x14ac:dyDescent="0.4">
      <c r="B765"/>
    </row>
    <row r="766" spans="2:2" x14ac:dyDescent="0.4">
      <c r="B766"/>
    </row>
    <row r="767" spans="2:2" x14ac:dyDescent="0.4">
      <c r="B767"/>
    </row>
    <row r="768" spans="2:2" x14ac:dyDescent="0.4">
      <c r="B768"/>
    </row>
    <row r="769" spans="2:2" x14ac:dyDescent="0.4">
      <c r="B769"/>
    </row>
    <row r="770" spans="2:2" x14ac:dyDescent="0.4">
      <c r="B770"/>
    </row>
    <row r="771" spans="2:2" x14ac:dyDescent="0.4">
      <c r="B771"/>
    </row>
    <row r="772" spans="2:2" x14ac:dyDescent="0.4">
      <c r="B772"/>
    </row>
    <row r="773" spans="2:2" x14ac:dyDescent="0.4">
      <c r="B773"/>
    </row>
    <row r="774" spans="2:2" x14ac:dyDescent="0.4">
      <c r="B774"/>
    </row>
    <row r="775" spans="2:2" x14ac:dyDescent="0.4">
      <c r="B775"/>
    </row>
    <row r="776" spans="2:2" x14ac:dyDescent="0.4">
      <c r="B776"/>
    </row>
    <row r="777" spans="2:2" x14ac:dyDescent="0.4">
      <c r="B777"/>
    </row>
    <row r="778" spans="2:2" x14ac:dyDescent="0.4">
      <c r="B778"/>
    </row>
    <row r="779" spans="2:2" x14ac:dyDescent="0.4">
      <c r="B779"/>
    </row>
    <row r="780" spans="2:2" x14ac:dyDescent="0.4">
      <c r="B780"/>
    </row>
    <row r="781" spans="2:2" x14ac:dyDescent="0.4">
      <c r="B781"/>
    </row>
    <row r="782" spans="2:2" x14ac:dyDescent="0.4">
      <c r="B782"/>
    </row>
    <row r="783" spans="2:2" x14ac:dyDescent="0.4">
      <c r="B783"/>
    </row>
    <row r="784" spans="2:2" x14ac:dyDescent="0.4">
      <c r="B784"/>
    </row>
    <row r="785" spans="2:2" x14ac:dyDescent="0.4">
      <c r="B785"/>
    </row>
    <row r="786" spans="2:2" x14ac:dyDescent="0.4">
      <c r="B786"/>
    </row>
    <row r="787" spans="2:2" x14ac:dyDescent="0.4">
      <c r="B787"/>
    </row>
    <row r="788" spans="2:2" x14ac:dyDescent="0.4">
      <c r="B788"/>
    </row>
    <row r="789" spans="2:2" x14ac:dyDescent="0.4">
      <c r="B789"/>
    </row>
    <row r="790" spans="2:2" x14ac:dyDescent="0.4">
      <c r="B790"/>
    </row>
    <row r="791" spans="2:2" x14ac:dyDescent="0.4">
      <c r="B791"/>
    </row>
    <row r="792" spans="2:2" x14ac:dyDescent="0.4">
      <c r="B792"/>
    </row>
    <row r="793" spans="2:2" x14ac:dyDescent="0.4">
      <c r="B793"/>
    </row>
    <row r="794" spans="2:2" x14ac:dyDescent="0.4">
      <c r="B794"/>
    </row>
    <row r="795" spans="2:2" x14ac:dyDescent="0.4">
      <c r="B795"/>
    </row>
    <row r="796" spans="2:2" x14ac:dyDescent="0.4">
      <c r="B796"/>
    </row>
    <row r="797" spans="2:2" x14ac:dyDescent="0.4">
      <c r="B797"/>
    </row>
    <row r="798" spans="2:2" x14ac:dyDescent="0.4">
      <c r="B798"/>
    </row>
    <row r="799" spans="2:2" x14ac:dyDescent="0.4">
      <c r="B799"/>
    </row>
    <row r="800" spans="2:2" x14ac:dyDescent="0.4">
      <c r="B800"/>
    </row>
    <row r="801" spans="2:2" x14ac:dyDescent="0.4">
      <c r="B801"/>
    </row>
    <row r="802" spans="2:2" x14ac:dyDescent="0.4">
      <c r="B802"/>
    </row>
    <row r="803" spans="2:2" x14ac:dyDescent="0.4">
      <c r="B803"/>
    </row>
    <row r="804" spans="2:2" x14ac:dyDescent="0.4">
      <c r="B804"/>
    </row>
    <row r="805" spans="2:2" x14ac:dyDescent="0.4">
      <c r="B805"/>
    </row>
    <row r="806" spans="2:2" x14ac:dyDescent="0.4">
      <c r="B806"/>
    </row>
    <row r="807" spans="2:2" x14ac:dyDescent="0.4">
      <c r="B807"/>
    </row>
    <row r="808" spans="2:2" x14ac:dyDescent="0.4">
      <c r="B808"/>
    </row>
    <row r="809" spans="2:2" x14ac:dyDescent="0.4">
      <c r="B809"/>
    </row>
    <row r="810" spans="2:2" x14ac:dyDescent="0.4">
      <c r="B810"/>
    </row>
    <row r="811" spans="2:2" x14ac:dyDescent="0.4">
      <c r="B811"/>
    </row>
    <row r="812" spans="2:2" x14ac:dyDescent="0.4">
      <c r="B812"/>
    </row>
    <row r="813" spans="2:2" x14ac:dyDescent="0.4">
      <c r="B813"/>
    </row>
    <row r="814" spans="2:2" x14ac:dyDescent="0.4">
      <c r="B814"/>
    </row>
    <row r="815" spans="2:2" x14ac:dyDescent="0.4">
      <c r="B815"/>
    </row>
    <row r="816" spans="2:2" x14ac:dyDescent="0.4">
      <c r="B816"/>
    </row>
    <row r="817" spans="2:2" x14ac:dyDescent="0.4">
      <c r="B817"/>
    </row>
    <row r="818" spans="2:2" x14ac:dyDescent="0.4">
      <c r="B818"/>
    </row>
    <row r="819" spans="2:2" x14ac:dyDescent="0.4">
      <c r="B819"/>
    </row>
    <row r="820" spans="2:2" x14ac:dyDescent="0.4">
      <c r="B820"/>
    </row>
    <row r="821" spans="2:2" x14ac:dyDescent="0.4">
      <c r="B821"/>
    </row>
    <row r="822" spans="2:2" x14ac:dyDescent="0.4">
      <c r="B822"/>
    </row>
    <row r="823" spans="2:2" x14ac:dyDescent="0.4">
      <c r="B823"/>
    </row>
    <row r="824" spans="2:2" x14ac:dyDescent="0.4">
      <c r="B824"/>
    </row>
    <row r="825" spans="2:2" x14ac:dyDescent="0.4">
      <c r="B825"/>
    </row>
    <row r="826" spans="2:2" x14ac:dyDescent="0.4">
      <c r="B826"/>
    </row>
    <row r="827" spans="2:2" x14ac:dyDescent="0.4">
      <c r="B827"/>
    </row>
    <row r="828" spans="2:2" x14ac:dyDescent="0.4">
      <c r="B828"/>
    </row>
    <row r="829" spans="2:2" x14ac:dyDescent="0.4">
      <c r="B829"/>
    </row>
    <row r="830" spans="2:2" x14ac:dyDescent="0.4">
      <c r="B830"/>
    </row>
    <row r="831" spans="2:2" x14ac:dyDescent="0.4">
      <c r="B831"/>
    </row>
    <row r="832" spans="2:2" x14ac:dyDescent="0.4">
      <c r="B832"/>
    </row>
    <row r="833" spans="2:2" x14ac:dyDescent="0.4">
      <c r="B833"/>
    </row>
    <row r="834" spans="2:2" x14ac:dyDescent="0.4">
      <c r="B834"/>
    </row>
    <row r="835" spans="2:2" x14ac:dyDescent="0.4">
      <c r="B835"/>
    </row>
    <row r="836" spans="2:2" x14ac:dyDescent="0.4">
      <c r="B836"/>
    </row>
    <row r="837" spans="2:2" x14ac:dyDescent="0.4">
      <c r="B837"/>
    </row>
    <row r="838" spans="2:2" x14ac:dyDescent="0.4">
      <c r="B838"/>
    </row>
    <row r="839" spans="2:2" x14ac:dyDescent="0.4">
      <c r="B839"/>
    </row>
    <row r="840" spans="2:2" x14ac:dyDescent="0.4">
      <c r="B840"/>
    </row>
    <row r="841" spans="2:2" x14ac:dyDescent="0.4">
      <c r="B841"/>
    </row>
    <row r="842" spans="2:2" x14ac:dyDescent="0.4">
      <c r="B842"/>
    </row>
    <row r="843" spans="2:2" x14ac:dyDescent="0.4">
      <c r="B843"/>
    </row>
    <row r="844" spans="2:2" x14ac:dyDescent="0.4">
      <c r="B844"/>
    </row>
    <row r="845" spans="2:2" x14ac:dyDescent="0.4">
      <c r="B845"/>
    </row>
    <row r="846" spans="2:2" x14ac:dyDescent="0.4">
      <c r="B846"/>
    </row>
    <row r="847" spans="2:2" x14ac:dyDescent="0.4">
      <c r="B847"/>
    </row>
    <row r="848" spans="2:2" x14ac:dyDescent="0.4">
      <c r="B848"/>
    </row>
    <row r="849" spans="2:2" x14ac:dyDescent="0.4">
      <c r="B849"/>
    </row>
    <row r="850" spans="2:2" x14ac:dyDescent="0.4">
      <c r="B850"/>
    </row>
    <row r="851" spans="2:2" x14ac:dyDescent="0.4">
      <c r="B851"/>
    </row>
    <row r="852" spans="2:2" x14ac:dyDescent="0.4">
      <c r="B852"/>
    </row>
    <row r="853" spans="2:2" x14ac:dyDescent="0.4">
      <c r="B853"/>
    </row>
    <row r="854" spans="2:2" x14ac:dyDescent="0.4">
      <c r="B854"/>
    </row>
    <row r="855" spans="2:2" x14ac:dyDescent="0.4">
      <c r="B855"/>
    </row>
    <row r="856" spans="2:2" x14ac:dyDescent="0.4">
      <c r="B856"/>
    </row>
    <row r="857" spans="2:2" x14ac:dyDescent="0.4">
      <c r="B857"/>
    </row>
    <row r="858" spans="2:2" x14ac:dyDescent="0.4">
      <c r="B858"/>
    </row>
    <row r="859" spans="2:2" x14ac:dyDescent="0.4">
      <c r="B859"/>
    </row>
    <row r="860" spans="2:2" x14ac:dyDescent="0.4">
      <c r="B860"/>
    </row>
    <row r="861" spans="2:2" x14ac:dyDescent="0.4">
      <c r="B861"/>
    </row>
    <row r="862" spans="2:2" x14ac:dyDescent="0.4">
      <c r="B862"/>
    </row>
    <row r="863" spans="2:2" x14ac:dyDescent="0.4">
      <c r="B863"/>
    </row>
    <row r="864" spans="2:2" x14ac:dyDescent="0.4">
      <c r="B864"/>
    </row>
    <row r="865" spans="2:2" x14ac:dyDescent="0.4">
      <c r="B865"/>
    </row>
    <row r="866" spans="2:2" x14ac:dyDescent="0.4">
      <c r="B866"/>
    </row>
    <row r="867" spans="2:2" x14ac:dyDescent="0.4">
      <c r="B867"/>
    </row>
    <row r="868" spans="2:2" x14ac:dyDescent="0.4">
      <c r="B868"/>
    </row>
    <row r="869" spans="2:2" x14ac:dyDescent="0.4">
      <c r="B869"/>
    </row>
    <row r="870" spans="2:2" x14ac:dyDescent="0.4">
      <c r="B870"/>
    </row>
    <row r="871" spans="2:2" x14ac:dyDescent="0.4">
      <c r="B871"/>
    </row>
    <row r="872" spans="2:2" x14ac:dyDescent="0.4">
      <c r="B872"/>
    </row>
    <row r="873" spans="2:2" x14ac:dyDescent="0.4">
      <c r="B873"/>
    </row>
    <row r="874" spans="2:2" x14ac:dyDescent="0.4">
      <c r="B874"/>
    </row>
    <row r="875" spans="2:2" x14ac:dyDescent="0.4">
      <c r="B875"/>
    </row>
    <row r="876" spans="2:2" x14ac:dyDescent="0.4">
      <c r="B876"/>
    </row>
    <row r="877" spans="2:2" x14ac:dyDescent="0.4">
      <c r="B877"/>
    </row>
    <row r="878" spans="2:2" x14ac:dyDescent="0.4">
      <c r="B878"/>
    </row>
    <row r="879" spans="2:2" x14ac:dyDescent="0.4">
      <c r="B879"/>
    </row>
    <row r="880" spans="2:2" x14ac:dyDescent="0.4">
      <c r="B880"/>
    </row>
    <row r="881" spans="2:2" x14ac:dyDescent="0.4">
      <c r="B881"/>
    </row>
    <row r="882" spans="2:2" x14ac:dyDescent="0.4">
      <c r="B882"/>
    </row>
    <row r="883" spans="2:2" x14ac:dyDescent="0.4">
      <c r="B883"/>
    </row>
    <row r="884" spans="2:2" x14ac:dyDescent="0.4">
      <c r="B884"/>
    </row>
    <row r="885" spans="2:2" x14ac:dyDescent="0.4">
      <c r="B885"/>
    </row>
    <row r="886" spans="2:2" x14ac:dyDescent="0.4">
      <c r="B886"/>
    </row>
    <row r="887" spans="2:2" x14ac:dyDescent="0.4">
      <c r="B887"/>
    </row>
    <row r="888" spans="2:2" x14ac:dyDescent="0.4">
      <c r="B888"/>
    </row>
    <row r="889" spans="2:2" x14ac:dyDescent="0.4">
      <c r="B889"/>
    </row>
    <row r="890" spans="2:2" x14ac:dyDescent="0.4">
      <c r="B890"/>
    </row>
    <row r="891" spans="2:2" x14ac:dyDescent="0.4">
      <c r="B891"/>
    </row>
    <row r="892" spans="2:2" x14ac:dyDescent="0.4">
      <c r="B892"/>
    </row>
    <row r="893" spans="2:2" x14ac:dyDescent="0.4">
      <c r="B893"/>
    </row>
    <row r="894" spans="2:2" x14ac:dyDescent="0.4">
      <c r="B894"/>
    </row>
    <row r="895" spans="2:2" x14ac:dyDescent="0.4">
      <c r="B895"/>
    </row>
    <row r="896" spans="2:2" x14ac:dyDescent="0.4">
      <c r="B896"/>
    </row>
    <row r="897" spans="2:2" x14ac:dyDescent="0.4">
      <c r="B897"/>
    </row>
    <row r="898" spans="2:2" x14ac:dyDescent="0.4">
      <c r="B898"/>
    </row>
    <row r="899" spans="2:2" x14ac:dyDescent="0.4">
      <c r="B899"/>
    </row>
    <row r="900" spans="2:2" x14ac:dyDescent="0.4">
      <c r="B900"/>
    </row>
    <row r="901" spans="2:2" x14ac:dyDescent="0.4">
      <c r="B901"/>
    </row>
    <row r="902" spans="2:2" x14ac:dyDescent="0.4">
      <c r="B902"/>
    </row>
    <row r="903" spans="2:2" x14ac:dyDescent="0.4">
      <c r="B903"/>
    </row>
    <row r="904" spans="2:2" x14ac:dyDescent="0.4">
      <c r="B904"/>
    </row>
    <row r="905" spans="2:2" x14ac:dyDescent="0.4">
      <c r="B905"/>
    </row>
    <row r="906" spans="2:2" x14ac:dyDescent="0.4">
      <c r="B906"/>
    </row>
    <row r="907" spans="2:2" x14ac:dyDescent="0.4">
      <c r="B907"/>
    </row>
    <row r="908" spans="2:2" x14ac:dyDescent="0.4">
      <c r="B908"/>
    </row>
    <row r="909" spans="2:2" x14ac:dyDescent="0.4">
      <c r="B909"/>
    </row>
    <row r="910" spans="2:2" x14ac:dyDescent="0.4">
      <c r="B910"/>
    </row>
    <row r="911" spans="2:2" x14ac:dyDescent="0.4">
      <c r="B911"/>
    </row>
    <row r="912" spans="2:2" x14ac:dyDescent="0.4">
      <c r="B912"/>
    </row>
    <row r="913" spans="2:2" x14ac:dyDescent="0.4">
      <c r="B913"/>
    </row>
    <row r="914" spans="2:2" x14ac:dyDescent="0.4">
      <c r="B914"/>
    </row>
    <row r="915" spans="2:2" x14ac:dyDescent="0.4">
      <c r="B915"/>
    </row>
    <row r="916" spans="2:2" x14ac:dyDescent="0.4">
      <c r="B916"/>
    </row>
    <row r="917" spans="2:2" x14ac:dyDescent="0.4">
      <c r="B917"/>
    </row>
    <row r="918" spans="2:2" x14ac:dyDescent="0.4">
      <c r="B918"/>
    </row>
    <row r="919" spans="2:2" x14ac:dyDescent="0.4">
      <c r="B919"/>
    </row>
    <row r="920" spans="2:2" x14ac:dyDescent="0.4">
      <c r="B920"/>
    </row>
    <row r="921" spans="2:2" x14ac:dyDescent="0.4">
      <c r="B921"/>
    </row>
    <row r="922" spans="2:2" x14ac:dyDescent="0.4">
      <c r="B922"/>
    </row>
    <row r="923" spans="2:2" x14ac:dyDescent="0.4">
      <c r="B923"/>
    </row>
    <row r="924" spans="2:2" x14ac:dyDescent="0.4">
      <c r="B924"/>
    </row>
    <row r="925" spans="2:2" x14ac:dyDescent="0.4">
      <c r="B925"/>
    </row>
    <row r="926" spans="2:2" x14ac:dyDescent="0.4">
      <c r="B926"/>
    </row>
    <row r="927" spans="2:2" x14ac:dyDescent="0.4">
      <c r="B927"/>
    </row>
    <row r="928" spans="2:2" x14ac:dyDescent="0.4">
      <c r="B928"/>
    </row>
    <row r="929" spans="2:2" x14ac:dyDescent="0.4">
      <c r="B929"/>
    </row>
    <row r="930" spans="2:2" x14ac:dyDescent="0.4">
      <c r="B930"/>
    </row>
    <row r="931" spans="2:2" x14ac:dyDescent="0.4">
      <c r="B931"/>
    </row>
    <row r="932" spans="2:2" x14ac:dyDescent="0.4">
      <c r="B932"/>
    </row>
    <row r="933" spans="2:2" x14ac:dyDescent="0.4">
      <c r="B933"/>
    </row>
    <row r="934" spans="2:2" x14ac:dyDescent="0.4">
      <c r="B934"/>
    </row>
    <row r="935" spans="2:2" x14ac:dyDescent="0.4">
      <c r="B935"/>
    </row>
    <row r="936" spans="2:2" x14ac:dyDescent="0.4">
      <c r="B936"/>
    </row>
    <row r="937" spans="2:2" x14ac:dyDescent="0.4">
      <c r="B937"/>
    </row>
    <row r="938" spans="2:2" x14ac:dyDescent="0.4">
      <c r="B938"/>
    </row>
    <row r="939" spans="2:2" x14ac:dyDescent="0.4">
      <c r="B939"/>
    </row>
    <row r="940" spans="2:2" x14ac:dyDescent="0.4">
      <c r="B940"/>
    </row>
    <row r="941" spans="2:2" x14ac:dyDescent="0.4">
      <c r="B941"/>
    </row>
    <row r="942" spans="2:2" x14ac:dyDescent="0.4">
      <c r="B942"/>
    </row>
    <row r="943" spans="2:2" x14ac:dyDescent="0.4">
      <c r="B943"/>
    </row>
    <row r="944" spans="2:2" x14ac:dyDescent="0.4">
      <c r="B944"/>
    </row>
    <row r="945" spans="2:2" x14ac:dyDescent="0.4">
      <c r="B945"/>
    </row>
    <row r="946" spans="2:2" x14ac:dyDescent="0.4">
      <c r="B946"/>
    </row>
    <row r="947" spans="2:2" x14ac:dyDescent="0.4">
      <c r="B947"/>
    </row>
    <row r="948" spans="2:2" x14ac:dyDescent="0.4">
      <c r="B948"/>
    </row>
    <row r="949" spans="2:2" x14ac:dyDescent="0.4">
      <c r="B949"/>
    </row>
    <row r="950" spans="2:2" x14ac:dyDescent="0.4">
      <c r="B950"/>
    </row>
    <row r="951" spans="2:2" x14ac:dyDescent="0.4">
      <c r="B951"/>
    </row>
    <row r="952" spans="2:2" x14ac:dyDescent="0.4">
      <c r="B952"/>
    </row>
    <row r="953" spans="2:2" x14ac:dyDescent="0.4">
      <c r="B953"/>
    </row>
    <row r="954" spans="2:2" x14ac:dyDescent="0.4">
      <c r="B954"/>
    </row>
    <row r="955" spans="2:2" x14ac:dyDescent="0.4">
      <c r="B955"/>
    </row>
    <row r="956" spans="2:2" x14ac:dyDescent="0.4">
      <c r="B956"/>
    </row>
    <row r="957" spans="2:2" x14ac:dyDescent="0.4">
      <c r="B957"/>
    </row>
    <row r="958" spans="2:2" x14ac:dyDescent="0.4">
      <c r="B958"/>
    </row>
    <row r="959" spans="2:2" x14ac:dyDescent="0.4">
      <c r="B959"/>
    </row>
    <row r="960" spans="2:2" x14ac:dyDescent="0.4">
      <c r="B960"/>
    </row>
    <row r="961" spans="2:2" x14ac:dyDescent="0.4">
      <c r="B961"/>
    </row>
    <row r="962" spans="2:2" x14ac:dyDescent="0.4">
      <c r="B962"/>
    </row>
    <row r="963" spans="2:2" x14ac:dyDescent="0.4">
      <c r="B963"/>
    </row>
    <row r="964" spans="2:2" x14ac:dyDescent="0.4">
      <c r="B964"/>
    </row>
    <row r="965" spans="2:2" x14ac:dyDescent="0.4">
      <c r="B965"/>
    </row>
    <row r="966" spans="2:2" x14ac:dyDescent="0.4">
      <c r="B966"/>
    </row>
    <row r="967" spans="2:2" x14ac:dyDescent="0.4">
      <c r="B967"/>
    </row>
    <row r="968" spans="2:2" x14ac:dyDescent="0.4">
      <c r="B968"/>
    </row>
    <row r="969" spans="2:2" x14ac:dyDescent="0.4">
      <c r="B969"/>
    </row>
    <row r="970" spans="2:2" x14ac:dyDescent="0.4">
      <c r="B970"/>
    </row>
    <row r="971" spans="2:2" x14ac:dyDescent="0.4">
      <c r="B971"/>
    </row>
    <row r="972" spans="2:2" x14ac:dyDescent="0.4">
      <c r="B972"/>
    </row>
    <row r="973" spans="2:2" x14ac:dyDescent="0.4">
      <c r="B973"/>
    </row>
    <row r="974" spans="2:2" x14ac:dyDescent="0.4">
      <c r="B974"/>
    </row>
    <row r="975" spans="2:2" x14ac:dyDescent="0.4">
      <c r="B975"/>
    </row>
    <row r="976" spans="2:2" x14ac:dyDescent="0.4">
      <c r="B976"/>
    </row>
    <row r="977" spans="2:2" x14ac:dyDescent="0.4">
      <c r="B977"/>
    </row>
    <row r="978" spans="2:2" x14ac:dyDescent="0.4">
      <c r="B978"/>
    </row>
    <row r="979" spans="2:2" x14ac:dyDescent="0.4">
      <c r="B979"/>
    </row>
    <row r="980" spans="2:2" x14ac:dyDescent="0.4">
      <c r="B980"/>
    </row>
    <row r="981" spans="2:2" x14ac:dyDescent="0.4">
      <c r="B981"/>
    </row>
    <row r="982" spans="2:2" x14ac:dyDescent="0.4">
      <c r="B982"/>
    </row>
    <row r="983" spans="2:2" x14ac:dyDescent="0.4">
      <c r="B983"/>
    </row>
    <row r="984" spans="2:2" x14ac:dyDescent="0.4">
      <c r="B984"/>
    </row>
    <row r="985" spans="2:2" x14ac:dyDescent="0.4">
      <c r="B985"/>
    </row>
    <row r="986" spans="2:2" x14ac:dyDescent="0.4">
      <c r="B986"/>
    </row>
    <row r="987" spans="2:2" x14ac:dyDescent="0.4">
      <c r="B987"/>
    </row>
    <row r="988" spans="2:2" x14ac:dyDescent="0.4">
      <c r="B988"/>
    </row>
    <row r="989" spans="2:2" x14ac:dyDescent="0.4">
      <c r="B989"/>
    </row>
    <row r="990" spans="2:2" x14ac:dyDescent="0.4">
      <c r="B990"/>
    </row>
    <row r="991" spans="2:2" x14ac:dyDescent="0.4">
      <c r="B991"/>
    </row>
    <row r="992" spans="2:2" x14ac:dyDescent="0.4">
      <c r="B992"/>
    </row>
    <row r="993" spans="2:2" x14ac:dyDescent="0.4">
      <c r="B993"/>
    </row>
    <row r="994" spans="2:2" x14ac:dyDescent="0.4">
      <c r="B994"/>
    </row>
    <row r="995" spans="2:2" x14ac:dyDescent="0.4">
      <c r="B995"/>
    </row>
    <row r="996" spans="2:2" x14ac:dyDescent="0.4">
      <c r="B996"/>
    </row>
    <row r="997" spans="2:2" x14ac:dyDescent="0.4">
      <c r="B997"/>
    </row>
    <row r="998" spans="2:2" x14ac:dyDescent="0.4">
      <c r="B998"/>
    </row>
    <row r="999" spans="2:2" x14ac:dyDescent="0.4">
      <c r="B999"/>
    </row>
    <row r="1000" spans="2:2" x14ac:dyDescent="0.4">
      <c r="B100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Welcome</vt:lpstr>
      <vt:lpstr>Current Parameters</vt:lpstr>
      <vt:lpstr>FigureDataImport</vt:lpstr>
      <vt:lpstr>Report Numbers</vt:lpstr>
      <vt:lpstr>Report Loop List</vt:lpstr>
      <vt:lpstr>ChartRanges</vt:lpstr>
      <vt:lpstr>Table 1</vt:lpstr>
      <vt:lpstr>Table 2</vt:lpstr>
      <vt:lpstr>Table 3</vt:lpstr>
      <vt:lpstr>Figure 1</vt:lpstr>
      <vt:lpstr>Figure 2</vt:lpstr>
      <vt:lpstr>FFS MR TopX</vt:lpstr>
      <vt:lpstr>Sheet1</vt:lpstr>
      <vt:lpstr>Bullet 1</vt:lpstr>
      <vt:lpstr>Header and Footer</vt:lpstr>
      <vt:lpstr>x-Header</vt:lpstr>
      <vt:lpstr>SmartSections</vt:lpstr>
      <vt:lpstr>Summary Sheet</vt:lpstr>
      <vt:lpstr>Add Docx</vt:lpstr>
      <vt:lpstr>Date</vt:lpstr>
      <vt:lpstr>GlobalReplace</vt:lpstr>
      <vt:lpstr>index</vt:lpstr>
      <vt:lpstr>index_altered</vt:lpstr>
      <vt:lpstr>index_temp</vt:lpstr>
      <vt:lpstr>CSVIMPORTS</vt:lpstr>
      <vt:lpstr>companies</vt:lpstr>
      <vt:lpstr>Xsection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simonson</dc:creator>
  <cp:lastModifiedBy>Brian Simonson</cp:lastModifiedBy>
  <cp:lastPrinted>2015-10-14T16:15:32Z</cp:lastPrinted>
  <dcterms:created xsi:type="dcterms:W3CDTF">2011-04-04T13:29:04Z</dcterms:created>
  <dcterms:modified xsi:type="dcterms:W3CDTF">2024-02-20T01:16:46Z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ies>
</file>